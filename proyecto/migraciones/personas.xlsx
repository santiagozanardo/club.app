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club\migraciones\"/>
    </mc:Choice>
  </mc:AlternateContent>
  <xr:revisionPtr revIDLastSave="0" documentId="13_ncr:1_{9364A69C-068F-45C1-8477-1759DE9CE2C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14" sheetId="1" r:id="rId1"/>
    <sheet name="persona_rows" sheetId="3" r:id="rId2"/>
    <sheet name="ps" sheetId="2" r:id="rId3"/>
    <sheet name="Hoja2" sheetId="4" r:id="rId4"/>
  </sheets>
  <definedNames>
    <definedName name="DatosExternos_1" localSheetId="1" hidden="1">persona_rows!$A$1:$K$101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2" i="4"/>
  <c r="I3" i="2"/>
  <c r="I4" i="2"/>
  <c r="I5" i="2"/>
  <c r="I6" i="2"/>
  <c r="I7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4251B-0753-4F43-87E7-8CF318374C86}" keepAlive="1" name="Consulta - persona_rows" description="Conexión a la consulta 'persona_rows' en el libro." type="5" refreshedVersion="8" background="1" saveData="1">
    <dbPr connection="Provider=Microsoft.Mashup.OleDb.1;Data Source=$Workbook$;Location=persona_rows;Extended Properties=&quot;&quot;" command="SELECT * FROM [persona_rows]"/>
  </connection>
</connections>
</file>

<file path=xl/sharedStrings.xml><?xml version="1.0" encoding="utf-8"?>
<sst xmlns="http://schemas.openxmlformats.org/spreadsheetml/2006/main" count="1044" uniqueCount="264">
  <si>
    <t xml:space="preserve">DIAZ MATOS </t>
  </si>
  <si>
    <t xml:space="preserve">FABRICIO </t>
  </si>
  <si>
    <t>claudiodiaz79@hotmail.com</t>
  </si>
  <si>
    <t>SCARDINO</t>
  </si>
  <si>
    <t>GIULIANO</t>
  </si>
  <si>
    <t>rominaguardino@hotmail.com</t>
  </si>
  <si>
    <t>CARJUZA</t>
  </si>
  <si>
    <t>NEHUEN</t>
  </si>
  <si>
    <t>soniajudithpi@gmail.com</t>
  </si>
  <si>
    <t>COMPIANO</t>
  </si>
  <si>
    <t>BENICIO</t>
  </si>
  <si>
    <t>mcompiano@gmail.com</t>
  </si>
  <si>
    <t>GHIOLDI</t>
  </si>
  <si>
    <t>FEDERICO</t>
  </si>
  <si>
    <t>jdghioldi@gmail.com</t>
  </si>
  <si>
    <t>ALBANO</t>
  </si>
  <si>
    <t>LUCIANO</t>
  </si>
  <si>
    <t>jus_alb2020@hotmail.com</t>
  </si>
  <si>
    <t>JOAQUIN</t>
  </si>
  <si>
    <t xml:space="preserve">jus_alb2020@hotmail.com </t>
  </si>
  <si>
    <t>FERREYRA</t>
  </si>
  <si>
    <t>AARON</t>
  </si>
  <si>
    <t>soymariajosedelvalle@gmail.com</t>
  </si>
  <si>
    <t>MURILLI</t>
  </si>
  <si>
    <t>VICENTE</t>
  </si>
  <si>
    <t>mariaceciliasauan@gmail.com</t>
  </si>
  <si>
    <t xml:space="preserve">LENTINI </t>
  </si>
  <si>
    <t>SANTIAGO</t>
  </si>
  <si>
    <t>GUTIERREZ</t>
  </si>
  <si>
    <t>ariel_dgut@hotmail.com</t>
  </si>
  <si>
    <t xml:space="preserve">NICODELLA </t>
  </si>
  <si>
    <t>CLEMENTE</t>
  </si>
  <si>
    <t>lorenamadjian@gmail.com</t>
  </si>
  <si>
    <t>FERNANDEZ</t>
  </si>
  <si>
    <t xml:space="preserve">MATEO </t>
  </si>
  <si>
    <t>POLO</t>
  </si>
  <si>
    <t>NAZARENO</t>
  </si>
  <si>
    <t>arielpolo@gmail.com</t>
  </si>
  <si>
    <t>REYES</t>
  </si>
  <si>
    <t xml:space="preserve">LUCAS </t>
  </si>
  <si>
    <t>alejandroreyes4@yahoo.com</t>
  </si>
  <si>
    <t>DIEGUEZ</t>
  </si>
  <si>
    <t xml:space="preserve">CIRO </t>
  </si>
  <si>
    <t>sebastiangdieguez@gmail.com</t>
  </si>
  <si>
    <t xml:space="preserve">RAMON VIÑAL </t>
  </si>
  <si>
    <t>LAUREANO</t>
  </si>
  <si>
    <t>pablosebastianramon@gmail.com</t>
  </si>
  <si>
    <t xml:space="preserve">KALADJIAN </t>
  </si>
  <si>
    <t>JUAN MARTIN</t>
  </si>
  <si>
    <t>silvihapa@hotmail.com</t>
  </si>
  <si>
    <t xml:space="preserve">CALSINA </t>
  </si>
  <si>
    <t xml:space="preserve">MATIAS </t>
  </si>
  <si>
    <t>shen.erik.mati@gmail.com</t>
  </si>
  <si>
    <t>1158380934</t>
  </si>
  <si>
    <t>52446718</t>
  </si>
  <si>
    <t>1159389208</t>
  </si>
  <si>
    <t>52447299</t>
  </si>
  <si>
    <t>1168656753</t>
  </si>
  <si>
    <t>52450545</t>
  </si>
  <si>
    <t>1140256257</t>
  </si>
  <si>
    <t>52768029</t>
  </si>
  <si>
    <t>1139381187</t>
  </si>
  <si>
    <t>52698211</t>
  </si>
  <si>
    <t>1144405773</t>
  </si>
  <si>
    <t>52647514</t>
  </si>
  <si>
    <t>52647515</t>
  </si>
  <si>
    <t>1133662100</t>
  </si>
  <si>
    <t>52186172</t>
  </si>
  <si>
    <t>1167040308</t>
  </si>
  <si>
    <t>52704531</t>
  </si>
  <si>
    <t>1122611000</t>
  </si>
  <si>
    <t>52454977</t>
  </si>
  <si>
    <t>1121541140</t>
  </si>
  <si>
    <t>52453603</t>
  </si>
  <si>
    <t>1131688920</t>
  </si>
  <si>
    <t>52648585</t>
  </si>
  <si>
    <t>1122774958</t>
  </si>
  <si>
    <t>52448179</t>
  </si>
  <si>
    <t>1134403695</t>
  </si>
  <si>
    <t>52762298</t>
  </si>
  <si>
    <t>1131963655</t>
  </si>
  <si>
    <t>52852332</t>
  </si>
  <si>
    <t>1165390007</t>
  </si>
  <si>
    <t>53082019</t>
  </si>
  <si>
    <t>1122965826</t>
  </si>
  <si>
    <t>52439950</t>
  </si>
  <si>
    <t>1158581634</t>
  </si>
  <si>
    <t>52855867</t>
  </si>
  <si>
    <t>1167112783</t>
  </si>
  <si>
    <t>52137893</t>
  </si>
  <si>
    <t>JUGADOR</t>
  </si>
  <si>
    <t>clienteid</t>
  </si>
  <si>
    <t>apellido</t>
  </si>
  <si>
    <t>nombre</t>
  </si>
  <si>
    <t>mail</t>
  </si>
  <si>
    <t>telefono</t>
  </si>
  <si>
    <t>dni</t>
  </si>
  <si>
    <t>rol</t>
  </si>
  <si>
    <t>Alderete</t>
  </si>
  <si>
    <t>Diego javier</t>
  </si>
  <si>
    <t>Alegre</t>
  </si>
  <si>
    <t>Tahiel</t>
  </si>
  <si>
    <t>Alonso Ferreyra</t>
  </si>
  <si>
    <t>Fernando Ariel</t>
  </si>
  <si>
    <t>Altobelli Capria</t>
  </si>
  <si>
    <t>Luciano</t>
  </si>
  <si>
    <t>Andrade</t>
  </si>
  <si>
    <t>Giuliano Hernan</t>
  </si>
  <si>
    <t>Aranda</t>
  </si>
  <si>
    <t>Alejandro</t>
  </si>
  <si>
    <t>Astudillo</t>
  </si>
  <si>
    <t>Marcos</t>
  </si>
  <si>
    <t>Avila Diz</t>
  </si>
  <si>
    <t>Bruno</t>
  </si>
  <si>
    <t>Ayala</t>
  </si>
  <si>
    <t>Bautista</t>
  </si>
  <si>
    <t>Benjumeda</t>
  </si>
  <si>
    <t>Gonzalo Augusto</t>
  </si>
  <si>
    <t>Bonafe</t>
  </si>
  <si>
    <t>Federico</t>
  </si>
  <si>
    <t>Bonanni</t>
  </si>
  <si>
    <t>Franco</t>
  </si>
  <si>
    <t>Calabrese</t>
  </si>
  <si>
    <t>Pablo</t>
  </si>
  <si>
    <t>Calvo Langenheim</t>
  </si>
  <si>
    <t>Agustín</t>
  </si>
  <si>
    <t>Calzon Heikel</t>
  </si>
  <si>
    <t>Sebastian</t>
  </si>
  <si>
    <t>Cano</t>
  </si>
  <si>
    <t>Jorge Francisco</t>
  </si>
  <si>
    <t>Caprino</t>
  </si>
  <si>
    <t>Lucas</t>
  </si>
  <si>
    <t>Caracciolo</t>
  </si>
  <si>
    <t>Carpy</t>
  </si>
  <si>
    <t>Juan ignacio</t>
  </si>
  <si>
    <t>Carugati</t>
  </si>
  <si>
    <t>Valentino</t>
  </si>
  <si>
    <t>Castro</t>
  </si>
  <si>
    <t>Sebastián</t>
  </si>
  <si>
    <t>Cerdá</t>
  </si>
  <si>
    <t>Mateo</t>
  </si>
  <si>
    <t>Cicatiello</t>
  </si>
  <si>
    <t>Valentín</t>
  </si>
  <si>
    <t>Colque</t>
  </si>
  <si>
    <t>Juan Pablo</t>
  </si>
  <si>
    <t>Commatteo</t>
  </si>
  <si>
    <t>Federico Martin</t>
  </si>
  <si>
    <t>Copello</t>
  </si>
  <si>
    <t>Pedro</t>
  </si>
  <si>
    <t>Cosio</t>
  </si>
  <si>
    <t>Mauro</t>
  </si>
  <si>
    <t>Cristobal Albornoz</t>
  </si>
  <si>
    <t>Ramiro</t>
  </si>
  <si>
    <t>Dinatolo</t>
  </si>
  <si>
    <t>Mariano</t>
  </si>
  <si>
    <t>Eaton</t>
  </si>
  <si>
    <t>Matias</t>
  </si>
  <si>
    <t>Ertola</t>
  </si>
  <si>
    <t>Tomas</t>
  </si>
  <si>
    <t>Espinal</t>
  </si>
  <si>
    <t>Geronimo</t>
  </si>
  <si>
    <t>Fernandez</t>
  </si>
  <si>
    <t>Ferreyro</t>
  </si>
  <si>
    <t>Ignacio</t>
  </si>
  <si>
    <t>Santino</t>
  </si>
  <si>
    <t>Filippini</t>
  </si>
  <si>
    <t>Fuhr</t>
  </si>
  <si>
    <t>Giacopetti</t>
  </si>
  <si>
    <t>Salvador</t>
  </si>
  <si>
    <t>Giudice</t>
  </si>
  <si>
    <t>Dante</t>
  </si>
  <si>
    <t>González</t>
  </si>
  <si>
    <t>Grill</t>
  </si>
  <si>
    <t>Benicio</t>
  </si>
  <si>
    <t>Guerrero</t>
  </si>
  <si>
    <t>Facundo</t>
  </si>
  <si>
    <t>Hermosa</t>
  </si>
  <si>
    <t>Tiago</t>
  </si>
  <si>
    <t>Himmelfreundpointner</t>
  </si>
  <si>
    <t>German</t>
  </si>
  <si>
    <t>Guillermo</t>
  </si>
  <si>
    <t>Ibagaza</t>
  </si>
  <si>
    <t>Martin</t>
  </si>
  <si>
    <t>López</t>
  </si>
  <si>
    <t>Tobías</t>
  </si>
  <si>
    <t>Ulises</t>
  </si>
  <si>
    <t>López Castilla</t>
  </si>
  <si>
    <t>López Parodi</t>
  </si>
  <si>
    <t>Nicolas Daniel</t>
  </si>
  <si>
    <t>Lorenzo</t>
  </si>
  <si>
    <t>Juan Ignacio</t>
  </si>
  <si>
    <t>Luna</t>
  </si>
  <si>
    <t>Elías</t>
  </si>
  <si>
    <t>Marello Blanco</t>
  </si>
  <si>
    <t>Juan Cruz</t>
  </si>
  <si>
    <t>Martínez</t>
  </si>
  <si>
    <t>Joaquin</t>
  </si>
  <si>
    <t>Mauro Rodríguez</t>
  </si>
  <si>
    <t>Máximo Gael</t>
  </si>
  <si>
    <t>Mazza</t>
  </si>
  <si>
    <t>Mellibovsky</t>
  </si>
  <si>
    <t>Agustin</t>
  </si>
  <si>
    <t>Mendiondo</t>
  </si>
  <si>
    <t>Juan Bautista</t>
  </si>
  <si>
    <t>Montero Alves</t>
  </si>
  <si>
    <t>Tomás</t>
  </si>
  <si>
    <t>Oliva</t>
  </si>
  <si>
    <t>Christian</t>
  </si>
  <si>
    <t>Pai</t>
  </si>
  <si>
    <t>Francisco</t>
  </si>
  <si>
    <t>Paiva</t>
  </si>
  <si>
    <t>Gonzalo</t>
  </si>
  <si>
    <t>Paredes Nuñez</t>
  </si>
  <si>
    <t>Marcelo</t>
  </si>
  <si>
    <t>Pérez Franco</t>
  </si>
  <si>
    <t>Jorge Gabriel</t>
  </si>
  <si>
    <t>Ramón</t>
  </si>
  <si>
    <t>Re</t>
  </si>
  <si>
    <t>Reartes</t>
  </si>
  <si>
    <t>Julián</t>
  </si>
  <si>
    <t>Riadigos</t>
  </si>
  <si>
    <t>Ríos</t>
  </si>
  <si>
    <t>Rivera</t>
  </si>
  <si>
    <t>Rodríguez Scilingo</t>
  </si>
  <si>
    <t>Octavio</t>
  </si>
  <si>
    <t>Romero</t>
  </si>
  <si>
    <t>Diego</t>
  </si>
  <si>
    <t>Sanromá Gutierrez</t>
  </si>
  <si>
    <t>Alejandro Rodrigo</t>
  </si>
  <si>
    <t>Sanchez</t>
  </si>
  <si>
    <t>Nicolas</t>
  </si>
  <si>
    <t>Stern</t>
  </si>
  <si>
    <t>Tallaridi</t>
  </si>
  <si>
    <t>Fabrizio</t>
  </si>
  <si>
    <t>Torres Carcacci</t>
  </si>
  <si>
    <t>Gino Augusto</t>
  </si>
  <si>
    <t>Valtadoro</t>
  </si>
  <si>
    <t>Tomas Agustín</t>
  </si>
  <si>
    <t>Vuisso</t>
  </si>
  <si>
    <t>Antonio</t>
  </si>
  <si>
    <t>Zanardo</t>
  </si>
  <si>
    <t>Santiago</t>
  </si>
  <si>
    <t>Zuccarino</t>
  </si>
  <si>
    <t/>
  </si>
  <si>
    <t>plantelid</t>
  </si>
  <si>
    <t>personaid</t>
  </si>
  <si>
    <t>timestamp</t>
  </si>
  <si>
    <t>posicion</t>
  </si>
  <si>
    <t>fechanacimiento</t>
  </si>
  <si>
    <t>santiago.zanardo@gmail.com2</t>
  </si>
  <si>
    <t>MANAGER</t>
  </si>
  <si>
    <t>Admin</t>
  </si>
  <si>
    <t>useradmin@club.com.ar</t>
  </si>
  <si>
    <t>CENTRO</t>
  </si>
  <si>
    <t>HOOKER</t>
  </si>
  <si>
    <t>WING</t>
  </si>
  <si>
    <t>OCTAVO</t>
  </si>
  <si>
    <t>ALA</t>
  </si>
  <si>
    <t>PILARDER</t>
  </si>
  <si>
    <t>MEDIOSCR</t>
  </si>
  <si>
    <t>FULLBACK</t>
  </si>
  <si>
    <t>APERTURA</t>
  </si>
  <si>
    <t>SEGUNDA</t>
  </si>
  <si>
    <t>PILARIZQ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</si>
</sst>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1"/>
    <xf numFmtId="0" fontId="2" fillId="0" borderId="0" xfId="0" applyFont="1" applyAlignment="1">
      <alignment wrapText="1"/>
    </xf>
    <xf numFmtId="0" fontId="1" fillId="0" borderId="0" xfId="1" applyAlignment="1">
      <alignment wrapText="1"/>
    </xf>
    <xf numFmtId="49" fontId="2" fillId="0" borderId="0" xfId="0" quotePrefix="1" applyNumberFormat="1" applyFont="1" applyAlignment="1">
      <alignment horizontal="left" wrapText="1"/>
    </xf>
    <xf numFmtId="49" fontId="2" fillId="0" borderId="0" xfId="0" applyNumberFormat="1" applyFont="1" applyAlignment="1">
      <alignment wrapText="1"/>
    </xf>
    <xf numFmtId="49" fontId="0" fillId="0" borderId="0" xfId="0" applyNumberFormat="1"/>
    <xf numFmtId="49" fontId="2" fillId="0" borderId="0" xfId="0" applyNumberFormat="1" applyFont="1" applyAlignment="1">
      <alignment horizontal="left" wrapText="1"/>
    </xf>
    <xf numFmtId="0" fontId="0" fillId="0" borderId="0" xfId="0" applyFill="1"/>
    <xf numFmtId="0" fontId="0" fillId="0" borderId="0" xfId="0" applyFill="1" applyBorder="1" applyAlignment="1">
      <alignment wrapText="1"/>
    </xf>
    <xf numFmtId="22" fontId="0" fillId="0" borderId="0" xfId="0" applyNumberFormat="1"/>
    <xf numFmtId="0" fontId="0" fillId="0" borderId="0" xfId="0" applyNumberFormat="1"/>
    <xf numFmtId="14" fontId="0" fillId="0" borderId="0" xfId="0" applyNumberFormat="1"/>
    <xf numFmtId="49" fontId="0" fillId="0" borderId="0" xfId="0" applyNumberFormat="1" applyFill="1"/>
    <xf numFmtId="49" fontId="0" fillId="0" borderId="0" xfId="0" applyNumberFormat="1" applyFill="1" applyBorder="1" applyAlignment="1">
      <alignment wrapText="1"/>
    </xf>
    <xf numFmtId="0" fontId="0" fillId="0" borderId="0" xfId="0" applyNumberForma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8">
    <dxf>
      <numFmt numFmtId="30" formatCode="@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BAD921-3308-4693-8EF2-ED5696F2D9B5}" autoFormatId="16" applyNumberFormats="0" applyBorderFormats="0" applyFontFormats="0" applyPatternFormats="0" applyAlignmentFormats="0" applyWidthHeightFormats="0">
  <queryTableRefresh nextId="13">
    <queryTableFields count="11">
      <queryTableField id="5" name="dni" tableColumnId="5"/>
      <queryTableField id="1" name="personaid" tableColumnId="1"/>
      <queryTableField id="2" name="timestamp" tableColumnId="2"/>
      <queryTableField id="3" name="nombre" tableColumnId="3"/>
      <queryTableField id="4" name="apellido" tableColumnId="4"/>
      <queryTableField id="6" name="telefono" tableColumnId="6"/>
      <queryTableField id="7" name="mail" tableColumnId="7"/>
      <queryTableField id="8" name="rol" tableColumnId="8"/>
      <queryTableField id="9" name="posicion" tableColumnId="9"/>
      <queryTableField id="10" name="clienteid" tableColumnId="10"/>
      <queryTableField id="11" name="fechanacimient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204B5-9EA9-429E-9710-F729E101110E}" name="persona_rows" displayName="persona_rows" ref="A1:K101" tableType="queryTable" totalsRowShown="0">
  <autoFilter ref="A1:K101" xr:uid="{69F204B5-9EA9-429E-9710-F729E101110E}"/>
  <tableColumns count="11">
    <tableColumn id="5" xr3:uid="{2FF8B792-E9E9-4373-9ED8-7B90B2F6B906}" uniqueName="5" name="dni" queryTableFieldId="5" dataDxfId="0"/>
    <tableColumn id="1" xr3:uid="{291AB63E-4E66-4C0D-8285-68330D1EA26C}" uniqueName="1" name="personaid" queryTableFieldId="1"/>
    <tableColumn id="2" xr3:uid="{B4A83FB6-E8BA-4085-8247-92BD879CD3AC}" uniqueName="2" name="timestamp" queryTableFieldId="2" dataDxfId="7"/>
    <tableColumn id="3" xr3:uid="{E2DE7DB5-482B-4857-BB96-83889DFDE7E5}" uniqueName="3" name="nombre" queryTableFieldId="3" dataDxfId="6"/>
    <tableColumn id="4" xr3:uid="{B5ECC3D1-8CF5-451D-82A6-1CEC39D2754E}" uniqueName="4" name="apellido" queryTableFieldId="4" dataDxfId="5"/>
    <tableColumn id="6" xr3:uid="{E2129017-6153-4096-862E-04718E3E4732}" uniqueName="6" name="telefono" queryTableFieldId="6"/>
    <tableColumn id="7" xr3:uid="{6E6E3BEC-A17C-4193-93ED-7EE1B81AC452}" uniqueName="7" name="mail" queryTableFieldId="7" dataDxfId="4"/>
    <tableColumn id="8" xr3:uid="{3EB32879-DE2B-4D09-9B74-887B99C8D67A}" uniqueName="8" name="rol" queryTableFieldId="8" dataDxfId="3"/>
    <tableColumn id="9" xr3:uid="{A632C454-7844-4DB4-863F-E66DC35C347E}" uniqueName="9" name="posicion" queryTableFieldId="9" dataDxfId="2"/>
    <tableColumn id="10" xr3:uid="{FF65FD3A-1B87-4275-B2D8-DDBC3D64B606}" uniqueName="10" name="clienteid" queryTableFieldId="10"/>
    <tableColumn id="11" xr3:uid="{E1C087DB-1C88-4E2B-BB93-FEAD7E4D2CA4}" uniqueName="11" name="fechanacimiento" queryTableFieldId="1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minaguardino@hotmail.com" TargetMode="External"/><Relationship Id="rId13" Type="http://schemas.openxmlformats.org/officeDocument/2006/relationships/hyperlink" Target="mailto:soniajudithpi@gmail.com" TargetMode="External"/><Relationship Id="rId3" Type="http://schemas.openxmlformats.org/officeDocument/2006/relationships/hyperlink" Target="mailto:jdghioldi@gmail.com" TargetMode="External"/><Relationship Id="rId7" Type="http://schemas.openxmlformats.org/officeDocument/2006/relationships/hyperlink" Target="mailto:lorenamadjian@gmail.com" TargetMode="External"/><Relationship Id="rId12" Type="http://schemas.openxmlformats.org/officeDocument/2006/relationships/hyperlink" Target="mailto:alejandroreyes4@yahoo.com" TargetMode="External"/><Relationship Id="rId17" Type="http://schemas.openxmlformats.org/officeDocument/2006/relationships/hyperlink" Target="mailto:mariaceciliasauan@gmail.com" TargetMode="External"/><Relationship Id="rId2" Type="http://schemas.openxmlformats.org/officeDocument/2006/relationships/hyperlink" Target="mailto:claudiodiaz79@hotmail.com" TargetMode="External"/><Relationship Id="rId16" Type="http://schemas.openxmlformats.org/officeDocument/2006/relationships/hyperlink" Target="mailto:shen.erik.mati@gmail.com" TargetMode="External"/><Relationship Id="rId1" Type="http://schemas.openxmlformats.org/officeDocument/2006/relationships/hyperlink" Target="mailto:ariel_dgut@hotmail.com" TargetMode="External"/><Relationship Id="rId6" Type="http://schemas.openxmlformats.org/officeDocument/2006/relationships/hyperlink" Target="mailto:soymariajosedelvalle@gmail.com" TargetMode="External"/><Relationship Id="rId11" Type="http://schemas.openxmlformats.org/officeDocument/2006/relationships/hyperlink" Target="mailto:pablosebastianramon@gmail.com" TargetMode="External"/><Relationship Id="rId5" Type="http://schemas.openxmlformats.org/officeDocument/2006/relationships/hyperlink" Target="mailto:sebastiangdieguez@gmail.com" TargetMode="External"/><Relationship Id="rId15" Type="http://schemas.openxmlformats.org/officeDocument/2006/relationships/hyperlink" Target="mailto:silvihapa@hotmail.com" TargetMode="External"/><Relationship Id="rId10" Type="http://schemas.openxmlformats.org/officeDocument/2006/relationships/hyperlink" Target="mailto:jus_alb2020@hotmail.com" TargetMode="External"/><Relationship Id="rId4" Type="http://schemas.openxmlformats.org/officeDocument/2006/relationships/hyperlink" Target="mailto:mcompiano@gmail.com" TargetMode="External"/><Relationship Id="rId9" Type="http://schemas.openxmlformats.org/officeDocument/2006/relationships/hyperlink" Target="mailto:jus_alb2020@hotmail.com" TargetMode="External"/><Relationship Id="rId14" Type="http://schemas.openxmlformats.org/officeDocument/2006/relationships/hyperlink" Target="mailto:arielpol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D4" sqref="D4"/>
    </sheetView>
  </sheetViews>
  <sheetFormatPr baseColWidth="10" defaultColWidth="28.33203125" defaultRowHeight="14.4" x14ac:dyDescent="0.3"/>
  <cols>
    <col min="1" max="1" width="12.33203125" bestFit="1" customWidth="1"/>
    <col min="2" max="2" width="11.88671875" bestFit="1" customWidth="1"/>
    <col min="3" max="3" width="29.109375" bestFit="1" customWidth="1"/>
  </cols>
  <sheetData>
    <row r="1" spans="1:7" x14ac:dyDescent="0.3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91</v>
      </c>
    </row>
    <row r="2" spans="1:7" x14ac:dyDescent="0.3">
      <c r="A2" s="1" t="s">
        <v>0</v>
      </c>
      <c r="B2" s="1" t="s">
        <v>1</v>
      </c>
      <c r="C2" s="2" t="s">
        <v>2</v>
      </c>
      <c r="D2" s="5" t="s">
        <v>53</v>
      </c>
      <c r="E2" s="6" t="s">
        <v>54</v>
      </c>
      <c r="F2" t="s">
        <v>90</v>
      </c>
      <c r="G2">
        <v>2</v>
      </c>
    </row>
    <row r="3" spans="1:7" x14ac:dyDescent="0.3">
      <c r="A3" s="1" t="s">
        <v>3</v>
      </c>
      <c r="B3" s="1" t="s">
        <v>4</v>
      </c>
      <c r="C3" s="2" t="s">
        <v>5</v>
      </c>
      <c r="D3" s="5" t="s">
        <v>55</v>
      </c>
      <c r="E3" s="7" t="s">
        <v>56</v>
      </c>
      <c r="F3" t="s">
        <v>90</v>
      </c>
      <c r="G3">
        <v>2</v>
      </c>
    </row>
    <row r="4" spans="1:7" x14ac:dyDescent="0.3">
      <c r="A4" s="3" t="s">
        <v>6</v>
      </c>
      <c r="B4" s="3" t="s">
        <v>7</v>
      </c>
      <c r="C4" s="2" t="s">
        <v>8</v>
      </c>
      <c r="D4" s="8" t="s">
        <v>57</v>
      </c>
      <c r="E4" s="6" t="s">
        <v>58</v>
      </c>
      <c r="F4" t="s">
        <v>90</v>
      </c>
      <c r="G4">
        <v>2</v>
      </c>
    </row>
    <row r="5" spans="1:7" x14ac:dyDescent="0.3">
      <c r="A5" s="3" t="s">
        <v>9</v>
      </c>
      <c r="B5" s="3" t="s">
        <v>10</v>
      </c>
      <c r="C5" s="4" t="s">
        <v>11</v>
      </c>
      <c r="D5" s="8" t="s">
        <v>59</v>
      </c>
      <c r="E5" s="6" t="s">
        <v>60</v>
      </c>
      <c r="F5" t="s">
        <v>90</v>
      </c>
      <c r="G5">
        <v>2</v>
      </c>
    </row>
    <row r="6" spans="1:7" x14ac:dyDescent="0.3">
      <c r="A6" s="3" t="s">
        <v>12</v>
      </c>
      <c r="B6" s="3" t="s">
        <v>13</v>
      </c>
      <c r="C6" s="4" t="s">
        <v>14</v>
      </c>
      <c r="D6" s="8" t="s">
        <v>61</v>
      </c>
      <c r="E6" s="6" t="s">
        <v>62</v>
      </c>
      <c r="F6" t="s">
        <v>90</v>
      </c>
      <c r="G6">
        <v>2</v>
      </c>
    </row>
    <row r="7" spans="1:7" x14ac:dyDescent="0.3">
      <c r="A7" s="3" t="s">
        <v>15</v>
      </c>
      <c r="B7" s="3" t="s">
        <v>16</v>
      </c>
      <c r="C7" s="4" t="s">
        <v>17</v>
      </c>
      <c r="D7" s="8" t="s">
        <v>63</v>
      </c>
      <c r="E7" s="6" t="s">
        <v>64</v>
      </c>
      <c r="F7" t="s">
        <v>90</v>
      </c>
      <c r="G7">
        <v>2</v>
      </c>
    </row>
    <row r="8" spans="1:7" x14ac:dyDescent="0.3">
      <c r="A8" s="3" t="s">
        <v>15</v>
      </c>
      <c r="B8" s="3" t="s">
        <v>18</v>
      </c>
      <c r="C8" s="4" t="s">
        <v>19</v>
      </c>
      <c r="D8" s="8" t="s">
        <v>63</v>
      </c>
      <c r="E8" s="6" t="s">
        <v>65</v>
      </c>
      <c r="F8" t="s">
        <v>90</v>
      </c>
      <c r="G8">
        <v>2</v>
      </c>
    </row>
    <row r="9" spans="1:7" x14ac:dyDescent="0.3">
      <c r="A9" s="3" t="s">
        <v>20</v>
      </c>
      <c r="B9" s="3" t="s">
        <v>21</v>
      </c>
      <c r="C9" s="4" t="s">
        <v>22</v>
      </c>
      <c r="D9" s="8" t="s">
        <v>66</v>
      </c>
      <c r="E9" s="6" t="s">
        <v>67</v>
      </c>
      <c r="F9" t="s">
        <v>90</v>
      </c>
      <c r="G9">
        <v>2</v>
      </c>
    </row>
    <row r="10" spans="1:7" x14ac:dyDescent="0.3">
      <c r="A10" s="3" t="s">
        <v>23</v>
      </c>
      <c r="B10" s="3" t="s">
        <v>24</v>
      </c>
      <c r="C10" s="4" t="s">
        <v>25</v>
      </c>
      <c r="D10" s="8" t="s">
        <v>68</v>
      </c>
      <c r="E10" s="6" t="s">
        <v>69</v>
      </c>
      <c r="F10" t="s">
        <v>90</v>
      </c>
      <c r="G10">
        <v>2</v>
      </c>
    </row>
    <row r="11" spans="1:7" x14ac:dyDescent="0.3">
      <c r="A11" s="3" t="s">
        <v>26</v>
      </c>
      <c r="B11" s="3" t="s">
        <v>27</v>
      </c>
      <c r="C11" s="3"/>
      <c r="D11" s="8" t="s">
        <v>70</v>
      </c>
      <c r="E11" s="6" t="s">
        <v>71</v>
      </c>
      <c r="F11" t="s">
        <v>90</v>
      </c>
      <c r="G11">
        <v>2</v>
      </c>
    </row>
    <row r="12" spans="1:7" x14ac:dyDescent="0.3">
      <c r="A12" s="3" t="s">
        <v>28</v>
      </c>
      <c r="B12" s="3" t="s">
        <v>16</v>
      </c>
      <c r="C12" s="4" t="s">
        <v>29</v>
      </c>
      <c r="D12" s="8" t="s">
        <v>72</v>
      </c>
      <c r="E12" s="6" t="s">
        <v>73</v>
      </c>
      <c r="F12" t="s">
        <v>90</v>
      </c>
      <c r="G12">
        <v>2</v>
      </c>
    </row>
    <row r="13" spans="1:7" x14ac:dyDescent="0.3">
      <c r="A13" s="3" t="s">
        <v>30</v>
      </c>
      <c r="B13" s="3" t="s">
        <v>31</v>
      </c>
      <c r="C13" s="4" t="s">
        <v>32</v>
      </c>
      <c r="D13" s="8" t="s">
        <v>74</v>
      </c>
      <c r="E13" s="6" t="s">
        <v>75</v>
      </c>
      <c r="F13" t="s">
        <v>90</v>
      </c>
      <c r="G13">
        <v>2</v>
      </c>
    </row>
    <row r="14" spans="1:7" x14ac:dyDescent="0.3">
      <c r="A14" s="3" t="s">
        <v>33</v>
      </c>
      <c r="B14" s="3" t="s">
        <v>34</v>
      </c>
      <c r="C14" s="3"/>
      <c r="D14" s="8" t="s">
        <v>76</v>
      </c>
      <c r="E14" s="6" t="s">
        <v>77</v>
      </c>
      <c r="F14" t="s">
        <v>90</v>
      </c>
      <c r="G14">
        <v>2</v>
      </c>
    </row>
    <row r="15" spans="1:7" x14ac:dyDescent="0.3">
      <c r="A15" s="3" t="s">
        <v>35</v>
      </c>
      <c r="B15" s="3" t="s">
        <v>36</v>
      </c>
      <c r="C15" s="4" t="s">
        <v>37</v>
      </c>
      <c r="D15" s="8" t="s">
        <v>78</v>
      </c>
      <c r="E15" s="6" t="s">
        <v>79</v>
      </c>
      <c r="F15" t="s">
        <v>90</v>
      </c>
      <c r="G15">
        <v>2</v>
      </c>
    </row>
    <row r="16" spans="1:7" x14ac:dyDescent="0.3">
      <c r="A16" s="3" t="s">
        <v>38</v>
      </c>
      <c r="B16" s="3" t="s">
        <v>39</v>
      </c>
      <c r="C16" s="4" t="s">
        <v>40</v>
      </c>
      <c r="D16" s="8" t="s">
        <v>80</v>
      </c>
      <c r="E16" s="6" t="s">
        <v>81</v>
      </c>
      <c r="F16" t="s">
        <v>90</v>
      </c>
      <c r="G16">
        <v>2</v>
      </c>
    </row>
    <row r="17" spans="1:7" x14ac:dyDescent="0.3">
      <c r="A17" s="3" t="s">
        <v>41</v>
      </c>
      <c r="B17" s="3" t="s">
        <v>42</v>
      </c>
      <c r="C17" s="4" t="s">
        <v>43</v>
      </c>
      <c r="D17" s="8" t="s">
        <v>82</v>
      </c>
      <c r="E17" s="6" t="s">
        <v>83</v>
      </c>
      <c r="F17" t="s">
        <v>90</v>
      </c>
      <c r="G17">
        <v>2</v>
      </c>
    </row>
    <row r="18" spans="1:7" x14ac:dyDescent="0.3">
      <c r="A18" s="3" t="s">
        <v>44</v>
      </c>
      <c r="B18" s="3" t="s">
        <v>45</v>
      </c>
      <c r="C18" s="4" t="s">
        <v>46</v>
      </c>
      <c r="D18" s="8" t="s">
        <v>84</v>
      </c>
      <c r="E18" s="6" t="s">
        <v>85</v>
      </c>
      <c r="F18" t="s">
        <v>90</v>
      </c>
      <c r="G18">
        <v>2</v>
      </c>
    </row>
    <row r="19" spans="1:7" x14ac:dyDescent="0.3">
      <c r="A19" s="3" t="s">
        <v>47</v>
      </c>
      <c r="B19" s="3" t="s">
        <v>48</v>
      </c>
      <c r="C19" s="4" t="s">
        <v>49</v>
      </c>
      <c r="D19" s="8" t="s">
        <v>86</v>
      </c>
      <c r="E19" s="6" t="s">
        <v>87</v>
      </c>
      <c r="F19" t="s">
        <v>90</v>
      </c>
      <c r="G19">
        <v>2</v>
      </c>
    </row>
    <row r="20" spans="1:7" x14ac:dyDescent="0.3">
      <c r="A20" s="3" t="s">
        <v>50</v>
      </c>
      <c r="B20" s="3" t="s">
        <v>51</v>
      </c>
      <c r="C20" s="4" t="s">
        <v>52</v>
      </c>
      <c r="D20" s="8" t="s">
        <v>88</v>
      </c>
      <c r="E20" s="6" t="s">
        <v>89</v>
      </c>
      <c r="F20" t="s">
        <v>90</v>
      </c>
      <c r="G20">
        <v>2</v>
      </c>
    </row>
  </sheetData>
  <hyperlinks>
    <hyperlink ref="C12" r:id="rId1" xr:uid="{1C25F908-698A-4AA0-A12A-5206145DB2FF}"/>
    <hyperlink ref="C2" r:id="rId2" xr:uid="{914A1296-E12B-4C5B-A76D-665A5AE64183}"/>
    <hyperlink ref="C6" r:id="rId3" xr:uid="{40EE5F9E-CC6D-467E-AD2F-63BA812A0DAB}"/>
    <hyperlink ref="C5" r:id="rId4" xr:uid="{78A7F36B-496D-43B6-9CE2-C85EDE3F2C08}"/>
    <hyperlink ref="C17" r:id="rId5" xr:uid="{9D97B28E-337F-4ECF-9353-90DA000DC411}"/>
    <hyperlink ref="C9" r:id="rId6" xr:uid="{E9B432A4-10D7-490E-8447-8BAD16A7417E}"/>
    <hyperlink ref="C13" r:id="rId7" xr:uid="{65E186C5-C3A5-4165-982E-6C4083CC9061}"/>
    <hyperlink ref="C3" r:id="rId8" xr:uid="{9962197E-631E-45CA-82C0-1AFF1BE2ACE4}"/>
    <hyperlink ref="C7" r:id="rId9" xr:uid="{BF52C03C-626D-4CC0-BEB6-0C9AB0E2676D}"/>
    <hyperlink ref="C8" r:id="rId10" xr:uid="{904693CB-A10B-4962-AE81-793C5951E6F0}"/>
    <hyperlink ref="C18" r:id="rId11" xr:uid="{BFA4C951-147E-4272-8E6E-CB85F1D552A0}"/>
    <hyperlink ref="C16" r:id="rId12" xr:uid="{07DC1F18-5D73-4AAC-8902-7E1AF72B7BE4}"/>
    <hyperlink ref="C4" r:id="rId13" xr:uid="{857752DD-09C0-4516-A351-B4411D69E700}"/>
    <hyperlink ref="C15" r:id="rId14" xr:uid="{5E26784C-57B4-4172-9BD2-8EB4CE53D0FF}"/>
    <hyperlink ref="C19" r:id="rId15" xr:uid="{6FFAD87B-9E76-4F4A-B56A-FDB11475DF6D}"/>
    <hyperlink ref="C20" r:id="rId16" xr:uid="{4369689D-F946-4A65-A961-EE666F5EDB1C}"/>
    <hyperlink ref="C10" r:id="rId17" xr:uid="{C80D7CF8-A5D9-4333-8631-E7767E7B82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0A6D-FAA4-4A5B-BF98-346F24A9B0E9}">
  <dimension ref="A1:K101"/>
  <sheetViews>
    <sheetView workbookViewId="0">
      <selection activeCell="A4" sqref="A4"/>
    </sheetView>
  </sheetViews>
  <sheetFormatPr baseColWidth="10" defaultRowHeight="14.4" x14ac:dyDescent="0.3"/>
  <cols>
    <col min="1" max="1" width="18.44140625" style="7" customWidth="1"/>
    <col min="3" max="3" width="14.5546875" bestFit="1" customWidth="1"/>
    <col min="4" max="4" width="15.5546875" bestFit="1" customWidth="1"/>
    <col min="5" max="5" width="19.5546875" bestFit="1" customWidth="1"/>
    <col min="7" max="7" width="11" bestFit="1" customWidth="1"/>
    <col min="8" max="8" width="29.109375" bestFit="1" customWidth="1"/>
    <col min="9" max="9" width="9.5546875" bestFit="1" customWidth="1"/>
    <col min="10" max="10" width="10.21875" bestFit="1" customWidth="1"/>
    <col min="11" max="11" width="10.33203125" bestFit="1" customWidth="1"/>
    <col min="12" max="12" width="17.33203125" bestFit="1" customWidth="1"/>
  </cols>
  <sheetData>
    <row r="1" spans="1:11" x14ac:dyDescent="0.3">
      <c r="A1" s="7" t="s">
        <v>96</v>
      </c>
      <c r="B1" t="s">
        <v>245</v>
      </c>
      <c r="C1" t="s">
        <v>246</v>
      </c>
      <c r="D1" t="s">
        <v>93</v>
      </c>
      <c r="E1" t="s">
        <v>92</v>
      </c>
      <c r="F1" t="s">
        <v>95</v>
      </c>
      <c r="G1" t="s">
        <v>94</v>
      </c>
      <c r="H1" t="s">
        <v>97</v>
      </c>
      <c r="I1" t="s">
        <v>247</v>
      </c>
      <c r="J1" t="s">
        <v>91</v>
      </c>
      <c r="K1" t="s">
        <v>248</v>
      </c>
    </row>
    <row r="2" spans="1:11" x14ac:dyDescent="0.3">
      <c r="B2">
        <v>24</v>
      </c>
      <c r="C2" s="11">
        <v>46162.423165925924</v>
      </c>
      <c r="D2" s="12" t="s">
        <v>241</v>
      </c>
      <c r="E2" s="12" t="s">
        <v>240</v>
      </c>
      <c r="G2" s="12" t="s">
        <v>249</v>
      </c>
      <c r="H2" s="12" t="s">
        <v>250</v>
      </c>
      <c r="I2" s="12" t="s">
        <v>243</v>
      </c>
      <c r="K2" s="13"/>
    </row>
    <row r="3" spans="1:11" x14ac:dyDescent="0.3">
      <c r="B3">
        <v>25</v>
      </c>
      <c r="C3" s="11">
        <v>46162.423717511578</v>
      </c>
      <c r="D3" s="12" t="s">
        <v>251</v>
      </c>
      <c r="E3" s="12" t="s">
        <v>251</v>
      </c>
      <c r="G3" s="12" t="s">
        <v>252</v>
      </c>
      <c r="H3" s="12" t="s">
        <v>243</v>
      </c>
      <c r="I3" s="12" t="s">
        <v>243</v>
      </c>
      <c r="K3" s="13"/>
    </row>
    <row r="4" spans="1:11" x14ac:dyDescent="0.3">
      <c r="A4" s="7">
        <v>52446718</v>
      </c>
      <c r="B4">
        <v>26</v>
      </c>
      <c r="C4" s="11">
        <v>46162.487470358799</v>
      </c>
      <c r="D4" s="12" t="s">
        <v>6</v>
      </c>
      <c r="E4" s="12" t="s">
        <v>7</v>
      </c>
      <c r="F4">
        <v>1158380934</v>
      </c>
      <c r="G4" s="12" t="s">
        <v>2</v>
      </c>
      <c r="H4" s="12" t="s">
        <v>90</v>
      </c>
      <c r="I4" s="12" t="s">
        <v>253</v>
      </c>
      <c r="J4">
        <v>2</v>
      </c>
      <c r="K4" s="13"/>
    </row>
    <row r="5" spans="1:11" x14ac:dyDescent="0.3">
      <c r="A5" s="7">
        <v>52446718</v>
      </c>
      <c r="B5">
        <v>27</v>
      </c>
      <c r="C5" s="11">
        <v>46162.490841817133</v>
      </c>
      <c r="D5" s="12" t="s">
        <v>1</v>
      </c>
      <c r="E5" s="12" t="s">
        <v>0</v>
      </c>
      <c r="F5">
        <v>1158380934</v>
      </c>
      <c r="G5" s="12" t="s">
        <v>2</v>
      </c>
      <c r="H5" s="12" t="s">
        <v>90</v>
      </c>
      <c r="I5" s="12" t="s">
        <v>243</v>
      </c>
      <c r="J5">
        <v>2</v>
      </c>
      <c r="K5" s="13"/>
    </row>
    <row r="6" spans="1:11" x14ac:dyDescent="0.3">
      <c r="A6" s="7">
        <v>52447299</v>
      </c>
      <c r="B6">
        <v>28</v>
      </c>
      <c r="C6" s="11">
        <v>46162.490841817133</v>
      </c>
      <c r="D6" s="12" t="s">
        <v>4</v>
      </c>
      <c r="E6" s="12" t="s">
        <v>3</v>
      </c>
      <c r="F6">
        <v>1159389208</v>
      </c>
      <c r="G6" s="12" t="s">
        <v>5</v>
      </c>
      <c r="H6" s="12" t="s">
        <v>90</v>
      </c>
      <c r="I6" s="12" t="s">
        <v>243</v>
      </c>
      <c r="J6">
        <v>2</v>
      </c>
      <c r="K6" s="13"/>
    </row>
    <row r="7" spans="1:11" x14ac:dyDescent="0.3">
      <c r="A7" s="7">
        <v>52450545</v>
      </c>
      <c r="B7">
        <v>29</v>
      </c>
      <c r="C7" s="11">
        <v>46162.490841817133</v>
      </c>
      <c r="D7" s="12" t="s">
        <v>7</v>
      </c>
      <c r="E7" s="12" t="s">
        <v>6</v>
      </c>
      <c r="F7">
        <v>1168656753</v>
      </c>
      <c r="G7" s="12" t="s">
        <v>8</v>
      </c>
      <c r="H7" s="12" t="s">
        <v>90</v>
      </c>
      <c r="I7" s="12" t="s">
        <v>243</v>
      </c>
      <c r="J7">
        <v>2</v>
      </c>
      <c r="K7" s="13"/>
    </row>
    <row r="8" spans="1:11" x14ac:dyDescent="0.3">
      <c r="A8" s="7">
        <v>52768029</v>
      </c>
      <c r="B8">
        <v>30</v>
      </c>
      <c r="C8" s="11">
        <v>46162.490841817133</v>
      </c>
      <c r="D8" s="12" t="s">
        <v>10</v>
      </c>
      <c r="E8" s="12" t="s">
        <v>9</v>
      </c>
      <c r="F8">
        <v>1140256257</v>
      </c>
      <c r="G8" s="12" t="s">
        <v>11</v>
      </c>
      <c r="H8" s="12" t="s">
        <v>90</v>
      </c>
      <c r="I8" s="12" t="s">
        <v>243</v>
      </c>
      <c r="J8">
        <v>2</v>
      </c>
      <c r="K8" s="13"/>
    </row>
    <row r="9" spans="1:11" x14ac:dyDescent="0.3">
      <c r="A9" s="7">
        <v>52698211</v>
      </c>
      <c r="B9">
        <v>31</v>
      </c>
      <c r="C9" s="11">
        <v>46162.490841817133</v>
      </c>
      <c r="D9" s="12" t="s">
        <v>13</v>
      </c>
      <c r="E9" s="12" t="s">
        <v>12</v>
      </c>
      <c r="F9">
        <v>1139381187</v>
      </c>
      <c r="G9" s="12" t="s">
        <v>14</v>
      </c>
      <c r="H9" s="12" t="s">
        <v>90</v>
      </c>
      <c r="I9" s="12" t="s">
        <v>243</v>
      </c>
      <c r="J9">
        <v>2</v>
      </c>
      <c r="K9" s="13"/>
    </row>
    <row r="10" spans="1:11" x14ac:dyDescent="0.3">
      <c r="A10" s="7">
        <v>52647514</v>
      </c>
      <c r="B10">
        <v>32</v>
      </c>
      <c r="C10" s="11">
        <v>46162.490841817133</v>
      </c>
      <c r="D10" s="12" t="s">
        <v>16</v>
      </c>
      <c r="E10" s="12" t="s">
        <v>15</v>
      </c>
      <c r="F10">
        <v>1144405773</v>
      </c>
      <c r="G10" s="12" t="s">
        <v>17</v>
      </c>
      <c r="H10" s="12" t="s">
        <v>90</v>
      </c>
      <c r="I10" s="12" t="s">
        <v>243</v>
      </c>
      <c r="J10">
        <v>2</v>
      </c>
      <c r="K10" s="13"/>
    </row>
    <row r="11" spans="1:11" x14ac:dyDescent="0.3">
      <c r="A11" s="7">
        <v>52647515</v>
      </c>
      <c r="B11">
        <v>33</v>
      </c>
      <c r="C11" s="11">
        <v>46162.490841817133</v>
      </c>
      <c r="D11" s="12" t="s">
        <v>18</v>
      </c>
      <c r="E11" s="12" t="s">
        <v>15</v>
      </c>
      <c r="F11">
        <v>1144405773</v>
      </c>
      <c r="G11" s="12" t="s">
        <v>19</v>
      </c>
      <c r="H11" s="12" t="s">
        <v>90</v>
      </c>
      <c r="I11" s="12" t="s">
        <v>243</v>
      </c>
      <c r="J11">
        <v>2</v>
      </c>
      <c r="K11" s="13">
        <v>41228</v>
      </c>
    </row>
    <row r="12" spans="1:11" x14ac:dyDescent="0.3">
      <c r="A12" s="7">
        <v>52186172</v>
      </c>
      <c r="B12">
        <v>34</v>
      </c>
      <c r="C12" s="11">
        <v>46162.490841817133</v>
      </c>
      <c r="D12" s="12" t="s">
        <v>21</v>
      </c>
      <c r="E12" s="12" t="s">
        <v>20</v>
      </c>
      <c r="F12">
        <v>1133662100</v>
      </c>
      <c r="G12" s="12" t="s">
        <v>22</v>
      </c>
      <c r="H12" s="12" t="s">
        <v>90</v>
      </c>
      <c r="I12" s="12" t="s">
        <v>243</v>
      </c>
      <c r="J12">
        <v>2</v>
      </c>
      <c r="K12" s="13"/>
    </row>
    <row r="13" spans="1:11" x14ac:dyDescent="0.3">
      <c r="A13" s="7">
        <v>52704531</v>
      </c>
      <c r="B13">
        <v>35</v>
      </c>
      <c r="C13" s="11">
        <v>46162.490841817133</v>
      </c>
      <c r="D13" s="12" t="s">
        <v>24</v>
      </c>
      <c r="E13" s="12" t="s">
        <v>23</v>
      </c>
      <c r="F13">
        <v>1167040308</v>
      </c>
      <c r="G13" s="12" t="s">
        <v>25</v>
      </c>
      <c r="H13" s="12" t="s">
        <v>90</v>
      </c>
      <c r="I13" s="12" t="s">
        <v>243</v>
      </c>
      <c r="J13">
        <v>2</v>
      </c>
      <c r="K13" s="13"/>
    </row>
    <row r="14" spans="1:11" x14ac:dyDescent="0.3">
      <c r="A14" s="7">
        <v>52454977</v>
      </c>
      <c r="B14">
        <v>36</v>
      </c>
      <c r="C14" s="11">
        <v>46162.490841817133</v>
      </c>
      <c r="D14" s="12" t="s">
        <v>27</v>
      </c>
      <c r="E14" s="12" t="s">
        <v>26</v>
      </c>
      <c r="F14">
        <v>1122611000</v>
      </c>
      <c r="G14" s="12" t="s">
        <v>243</v>
      </c>
      <c r="H14" s="12" t="s">
        <v>90</v>
      </c>
      <c r="I14" s="12" t="s">
        <v>243</v>
      </c>
      <c r="J14">
        <v>2</v>
      </c>
      <c r="K14" s="13"/>
    </row>
    <row r="15" spans="1:11" x14ac:dyDescent="0.3">
      <c r="A15" s="7">
        <v>52453603</v>
      </c>
      <c r="B15">
        <v>37</v>
      </c>
      <c r="C15" s="11">
        <v>46162.490841817133</v>
      </c>
      <c r="D15" s="12" t="s">
        <v>16</v>
      </c>
      <c r="E15" s="12" t="s">
        <v>28</v>
      </c>
      <c r="F15">
        <v>1121541140</v>
      </c>
      <c r="G15" s="12" t="s">
        <v>29</v>
      </c>
      <c r="H15" s="12" t="s">
        <v>90</v>
      </c>
      <c r="I15" s="12" t="s">
        <v>243</v>
      </c>
      <c r="J15">
        <v>2</v>
      </c>
      <c r="K15" s="13"/>
    </row>
    <row r="16" spans="1:11" x14ac:dyDescent="0.3">
      <c r="A16" s="7">
        <v>52648585</v>
      </c>
      <c r="B16">
        <v>38</v>
      </c>
      <c r="C16" s="11">
        <v>46162.490841817133</v>
      </c>
      <c r="D16" s="12" t="s">
        <v>31</v>
      </c>
      <c r="E16" s="12" t="s">
        <v>30</v>
      </c>
      <c r="F16">
        <v>1131688920</v>
      </c>
      <c r="G16" s="12" t="s">
        <v>32</v>
      </c>
      <c r="H16" s="12" t="s">
        <v>90</v>
      </c>
      <c r="I16" s="12" t="s">
        <v>243</v>
      </c>
      <c r="J16">
        <v>2</v>
      </c>
      <c r="K16" s="13"/>
    </row>
    <row r="17" spans="1:11" x14ac:dyDescent="0.3">
      <c r="A17" s="7">
        <v>52448179</v>
      </c>
      <c r="B17">
        <v>39</v>
      </c>
      <c r="C17" s="11">
        <v>46162.490841817133</v>
      </c>
      <c r="D17" s="12" t="s">
        <v>34</v>
      </c>
      <c r="E17" s="12" t="s">
        <v>33</v>
      </c>
      <c r="F17">
        <v>1122774958</v>
      </c>
      <c r="G17" s="12" t="s">
        <v>243</v>
      </c>
      <c r="H17" s="12" t="s">
        <v>90</v>
      </c>
      <c r="I17" s="12" t="s">
        <v>243</v>
      </c>
      <c r="J17">
        <v>2</v>
      </c>
      <c r="K17" s="13">
        <v>41137</v>
      </c>
    </row>
    <row r="18" spans="1:11" x14ac:dyDescent="0.3">
      <c r="A18" s="7">
        <v>52762298</v>
      </c>
      <c r="B18">
        <v>40</v>
      </c>
      <c r="C18" s="11">
        <v>46162.490841817133</v>
      </c>
      <c r="D18" s="12" t="s">
        <v>36</v>
      </c>
      <c r="E18" s="12" t="s">
        <v>35</v>
      </c>
      <c r="F18">
        <v>1134403695</v>
      </c>
      <c r="G18" s="12" t="s">
        <v>37</v>
      </c>
      <c r="H18" s="12" t="s">
        <v>90</v>
      </c>
      <c r="I18" s="12" t="s">
        <v>243</v>
      </c>
      <c r="J18">
        <v>2</v>
      </c>
      <c r="K18" s="13"/>
    </row>
    <row r="19" spans="1:11" x14ac:dyDescent="0.3">
      <c r="A19" s="7">
        <v>52852332</v>
      </c>
      <c r="B19">
        <v>41</v>
      </c>
      <c r="C19" s="11">
        <v>46162.490841817133</v>
      </c>
      <c r="D19" s="12" t="s">
        <v>39</v>
      </c>
      <c r="E19" s="12" t="s">
        <v>38</v>
      </c>
      <c r="F19">
        <v>1131963655</v>
      </c>
      <c r="G19" s="12" t="s">
        <v>40</v>
      </c>
      <c r="H19" s="12" t="s">
        <v>90</v>
      </c>
      <c r="I19" s="12" t="s">
        <v>243</v>
      </c>
      <c r="J19">
        <v>2</v>
      </c>
      <c r="K19" s="13"/>
    </row>
    <row r="20" spans="1:11" x14ac:dyDescent="0.3">
      <c r="A20" s="7">
        <v>53082019</v>
      </c>
      <c r="B20">
        <v>42</v>
      </c>
      <c r="C20" s="11">
        <v>46162.490841817133</v>
      </c>
      <c r="D20" s="12" t="s">
        <v>42</v>
      </c>
      <c r="E20" s="12" t="s">
        <v>41</v>
      </c>
      <c r="F20">
        <v>1165390007</v>
      </c>
      <c r="G20" s="12" t="s">
        <v>43</v>
      </c>
      <c r="H20" s="12" t="s">
        <v>90</v>
      </c>
      <c r="I20" s="12" t="s">
        <v>243</v>
      </c>
      <c r="J20">
        <v>2</v>
      </c>
      <c r="K20" s="13"/>
    </row>
    <row r="21" spans="1:11" x14ac:dyDescent="0.3">
      <c r="A21" s="7">
        <v>52439950</v>
      </c>
      <c r="B21">
        <v>43</v>
      </c>
      <c r="C21" s="11">
        <v>46162.490841817133</v>
      </c>
      <c r="D21" s="12" t="s">
        <v>45</v>
      </c>
      <c r="E21" s="12" t="s">
        <v>44</v>
      </c>
      <c r="F21">
        <v>1122965826</v>
      </c>
      <c r="G21" s="12" t="s">
        <v>46</v>
      </c>
      <c r="H21" s="12" t="s">
        <v>90</v>
      </c>
      <c r="I21" s="12" t="s">
        <v>243</v>
      </c>
      <c r="J21">
        <v>2</v>
      </c>
      <c r="K21" s="13"/>
    </row>
    <row r="22" spans="1:11" x14ac:dyDescent="0.3">
      <c r="A22" s="7">
        <v>52855867</v>
      </c>
      <c r="B22">
        <v>44</v>
      </c>
      <c r="C22" s="11">
        <v>46162.490841817133</v>
      </c>
      <c r="D22" s="12" t="s">
        <v>48</v>
      </c>
      <c r="E22" s="12" t="s">
        <v>47</v>
      </c>
      <c r="F22">
        <v>1158581634</v>
      </c>
      <c r="G22" s="12" t="s">
        <v>49</v>
      </c>
      <c r="H22" s="12" t="s">
        <v>90</v>
      </c>
      <c r="I22" s="12" t="s">
        <v>243</v>
      </c>
      <c r="J22">
        <v>2</v>
      </c>
      <c r="K22" s="13"/>
    </row>
    <row r="23" spans="1:11" x14ac:dyDescent="0.3">
      <c r="A23" s="7">
        <v>52137893</v>
      </c>
      <c r="B23">
        <v>45</v>
      </c>
      <c r="C23" s="11">
        <v>46162.490841817133</v>
      </c>
      <c r="D23" s="12" t="s">
        <v>51</v>
      </c>
      <c r="E23" s="12" t="s">
        <v>50</v>
      </c>
      <c r="F23">
        <v>1167112783</v>
      </c>
      <c r="G23" s="12" t="s">
        <v>52</v>
      </c>
      <c r="H23" s="12" t="s">
        <v>90</v>
      </c>
      <c r="I23" s="12" t="s">
        <v>243</v>
      </c>
      <c r="J23">
        <v>2</v>
      </c>
      <c r="K23" s="13"/>
    </row>
    <row r="24" spans="1:11" x14ac:dyDescent="0.3">
      <c r="A24" s="7">
        <v>35270492</v>
      </c>
      <c r="B24">
        <v>46</v>
      </c>
      <c r="C24" s="11">
        <v>46162.531924537034</v>
      </c>
      <c r="D24" s="12" t="s">
        <v>99</v>
      </c>
      <c r="E24" s="12" t="s">
        <v>98</v>
      </c>
      <c r="G24" s="12" t="s">
        <v>243</v>
      </c>
      <c r="H24" s="12" t="s">
        <v>90</v>
      </c>
      <c r="I24" s="12" t="s">
        <v>243</v>
      </c>
      <c r="J24">
        <v>2</v>
      </c>
      <c r="K24" s="13"/>
    </row>
    <row r="25" spans="1:11" x14ac:dyDescent="0.3">
      <c r="A25" s="7">
        <v>46908023</v>
      </c>
      <c r="B25">
        <v>47</v>
      </c>
      <c r="C25" s="11">
        <v>46162.531924537034</v>
      </c>
      <c r="D25" s="12" t="s">
        <v>101</v>
      </c>
      <c r="E25" s="12" t="s">
        <v>100</v>
      </c>
      <c r="G25" s="12" t="s">
        <v>243</v>
      </c>
      <c r="H25" s="12" t="s">
        <v>90</v>
      </c>
      <c r="I25" s="12" t="s">
        <v>243</v>
      </c>
      <c r="J25">
        <v>2</v>
      </c>
      <c r="K25" s="13"/>
    </row>
    <row r="26" spans="1:11" x14ac:dyDescent="0.3">
      <c r="A26" s="7">
        <v>32674341</v>
      </c>
      <c r="B26">
        <v>48</v>
      </c>
      <c r="C26" s="11">
        <v>46162.531924537034</v>
      </c>
      <c r="D26" s="12" t="s">
        <v>103</v>
      </c>
      <c r="E26" s="12" t="s">
        <v>102</v>
      </c>
      <c r="G26" s="12" t="s">
        <v>243</v>
      </c>
      <c r="H26" s="12" t="s">
        <v>90</v>
      </c>
      <c r="I26" s="12" t="s">
        <v>243</v>
      </c>
      <c r="J26">
        <v>2</v>
      </c>
      <c r="K26" s="13"/>
    </row>
    <row r="27" spans="1:11" x14ac:dyDescent="0.3">
      <c r="A27" s="7">
        <v>46915289</v>
      </c>
      <c r="B27">
        <v>49</v>
      </c>
      <c r="C27" s="11">
        <v>46162.531924537034</v>
      </c>
      <c r="D27" s="12" t="s">
        <v>105</v>
      </c>
      <c r="E27" s="12" t="s">
        <v>104</v>
      </c>
      <c r="G27" s="12" t="s">
        <v>243</v>
      </c>
      <c r="H27" s="12" t="s">
        <v>90</v>
      </c>
      <c r="I27" s="12" t="s">
        <v>243</v>
      </c>
      <c r="J27">
        <v>2</v>
      </c>
      <c r="K27" s="13"/>
    </row>
    <row r="28" spans="1:11" x14ac:dyDescent="0.3">
      <c r="A28" s="7">
        <v>43720513</v>
      </c>
      <c r="B28">
        <v>50</v>
      </c>
      <c r="C28" s="11">
        <v>46162.531924537034</v>
      </c>
      <c r="D28" s="12" t="s">
        <v>107</v>
      </c>
      <c r="E28" s="12" t="s">
        <v>106</v>
      </c>
      <c r="G28" s="12" t="s">
        <v>243</v>
      </c>
      <c r="H28" s="12" t="s">
        <v>90</v>
      </c>
      <c r="I28" s="12" t="s">
        <v>243</v>
      </c>
      <c r="J28">
        <v>2</v>
      </c>
      <c r="K28" s="13"/>
    </row>
    <row r="29" spans="1:11" x14ac:dyDescent="0.3">
      <c r="A29" s="7">
        <v>45235320</v>
      </c>
      <c r="B29">
        <v>51</v>
      </c>
      <c r="C29" s="11">
        <v>46162.531924537034</v>
      </c>
      <c r="D29" s="12" t="s">
        <v>109</v>
      </c>
      <c r="E29" s="12" t="s">
        <v>108</v>
      </c>
      <c r="G29" s="12" t="s">
        <v>243</v>
      </c>
      <c r="H29" s="12" t="s">
        <v>90</v>
      </c>
      <c r="I29" s="12" t="s">
        <v>243</v>
      </c>
      <c r="J29">
        <v>2</v>
      </c>
      <c r="K29" s="13"/>
    </row>
    <row r="30" spans="1:11" x14ac:dyDescent="0.3">
      <c r="B30">
        <v>52</v>
      </c>
      <c r="C30" s="11">
        <v>46162.531924537034</v>
      </c>
      <c r="D30" s="12" t="s">
        <v>111</v>
      </c>
      <c r="E30" s="12" t="s">
        <v>110</v>
      </c>
      <c r="G30" s="12" t="s">
        <v>243</v>
      </c>
      <c r="H30" s="12" t="s">
        <v>90</v>
      </c>
      <c r="I30" s="12" t="s">
        <v>243</v>
      </c>
      <c r="J30">
        <v>2</v>
      </c>
      <c r="K30" s="13"/>
    </row>
    <row r="31" spans="1:11" x14ac:dyDescent="0.3">
      <c r="A31" s="7">
        <v>47344151</v>
      </c>
      <c r="B31">
        <v>53</v>
      </c>
      <c r="C31" s="11">
        <v>46162.531924537034</v>
      </c>
      <c r="D31" s="12" t="s">
        <v>113</v>
      </c>
      <c r="E31" s="12" t="s">
        <v>112</v>
      </c>
      <c r="G31" s="12" t="s">
        <v>243</v>
      </c>
      <c r="H31" s="12" t="s">
        <v>90</v>
      </c>
      <c r="I31" s="12" t="s">
        <v>243</v>
      </c>
      <c r="J31">
        <v>2</v>
      </c>
      <c r="K31" s="13"/>
    </row>
    <row r="32" spans="1:11" x14ac:dyDescent="0.3">
      <c r="A32" s="7">
        <v>47295732</v>
      </c>
      <c r="B32">
        <v>54</v>
      </c>
      <c r="C32" s="11">
        <v>46162.531924537034</v>
      </c>
      <c r="D32" s="12" t="s">
        <v>115</v>
      </c>
      <c r="E32" s="12" t="s">
        <v>114</v>
      </c>
      <c r="G32" s="12" t="s">
        <v>243</v>
      </c>
      <c r="H32" s="12" t="s">
        <v>90</v>
      </c>
      <c r="I32" s="12" t="s">
        <v>243</v>
      </c>
      <c r="J32">
        <v>2</v>
      </c>
      <c r="K32" s="13"/>
    </row>
    <row r="33" spans="1:11" x14ac:dyDescent="0.3">
      <c r="A33" s="7">
        <v>37611683</v>
      </c>
      <c r="B33">
        <v>55</v>
      </c>
      <c r="C33" s="11">
        <v>46162.531924537034</v>
      </c>
      <c r="D33" s="12" t="s">
        <v>117</v>
      </c>
      <c r="E33" s="12" t="s">
        <v>116</v>
      </c>
      <c r="G33" s="12" t="s">
        <v>243</v>
      </c>
      <c r="H33" s="12" t="s">
        <v>90</v>
      </c>
      <c r="I33" s="12" t="s">
        <v>243</v>
      </c>
      <c r="J33">
        <v>2</v>
      </c>
      <c r="K33" s="13"/>
    </row>
    <row r="34" spans="1:11" x14ac:dyDescent="0.3">
      <c r="A34" s="7">
        <v>45926851</v>
      </c>
      <c r="B34">
        <v>56</v>
      </c>
      <c r="C34" s="11">
        <v>46162.531924537034</v>
      </c>
      <c r="D34" s="12" t="s">
        <v>119</v>
      </c>
      <c r="E34" s="12" t="s">
        <v>118</v>
      </c>
      <c r="G34" s="12" t="s">
        <v>243</v>
      </c>
      <c r="H34" s="12" t="s">
        <v>90</v>
      </c>
      <c r="I34" s="12" t="s">
        <v>243</v>
      </c>
      <c r="J34">
        <v>2</v>
      </c>
      <c r="K34" s="13"/>
    </row>
    <row r="35" spans="1:11" x14ac:dyDescent="0.3">
      <c r="A35" s="7">
        <v>44484100</v>
      </c>
      <c r="B35">
        <v>57</v>
      </c>
      <c r="C35" s="11">
        <v>46162.531924537034</v>
      </c>
      <c r="D35" s="12" t="s">
        <v>121</v>
      </c>
      <c r="E35" s="12" t="s">
        <v>120</v>
      </c>
      <c r="G35" s="12" t="s">
        <v>243</v>
      </c>
      <c r="H35" s="12" t="s">
        <v>90</v>
      </c>
      <c r="I35" s="12" t="s">
        <v>243</v>
      </c>
      <c r="J35">
        <v>2</v>
      </c>
      <c r="K35" s="13"/>
    </row>
    <row r="36" spans="1:11" x14ac:dyDescent="0.3">
      <c r="A36" s="7">
        <v>47029831</v>
      </c>
      <c r="B36">
        <v>58</v>
      </c>
      <c r="C36" s="11">
        <v>46162.531924537034</v>
      </c>
      <c r="D36" s="12" t="s">
        <v>123</v>
      </c>
      <c r="E36" s="12" t="s">
        <v>122</v>
      </c>
      <c r="G36" s="12" t="s">
        <v>243</v>
      </c>
      <c r="H36" s="12" t="s">
        <v>90</v>
      </c>
      <c r="I36" s="12" t="s">
        <v>243</v>
      </c>
      <c r="J36">
        <v>2</v>
      </c>
      <c r="K36" s="13"/>
    </row>
    <row r="37" spans="1:11" x14ac:dyDescent="0.3">
      <c r="A37" s="7">
        <v>45822370</v>
      </c>
      <c r="B37">
        <v>59</v>
      </c>
      <c r="C37" s="11">
        <v>46162.531924537034</v>
      </c>
      <c r="D37" s="12" t="s">
        <v>125</v>
      </c>
      <c r="E37" s="12" t="s">
        <v>124</v>
      </c>
      <c r="G37" s="12" t="s">
        <v>243</v>
      </c>
      <c r="H37" s="12" t="s">
        <v>90</v>
      </c>
      <c r="I37" s="12" t="s">
        <v>243</v>
      </c>
      <c r="J37">
        <v>2</v>
      </c>
      <c r="K37" s="13"/>
    </row>
    <row r="38" spans="1:11" x14ac:dyDescent="0.3">
      <c r="A38" s="7">
        <v>44158542</v>
      </c>
      <c r="B38">
        <v>60</v>
      </c>
      <c r="C38" s="11">
        <v>46162.531924537034</v>
      </c>
      <c r="D38" s="12" t="s">
        <v>127</v>
      </c>
      <c r="E38" s="12" t="s">
        <v>126</v>
      </c>
      <c r="G38" s="12" t="s">
        <v>243</v>
      </c>
      <c r="H38" s="12" t="s">
        <v>90</v>
      </c>
      <c r="I38" s="12" t="s">
        <v>243</v>
      </c>
      <c r="J38">
        <v>2</v>
      </c>
      <c r="K38" s="13"/>
    </row>
    <row r="39" spans="1:11" x14ac:dyDescent="0.3">
      <c r="A39" s="7">
        <v>41496855</v>
      </c>
      <c r="B39">
        <v>61</v>
      </c>
      <c r="C39" s="11">
        <v>46162.531924537034</v>
      </c>
      <c r="D39" s="12" t="s">
        <v>129</v>
      </c>
      <c r="E39" s="12" t="s">
        <v>128</v>
      </c>
      <c r="G39" s="12" t="s">
        <v>243</v>
      </c>
      <c r="H39" s="12" t="s">
        <v>90</v>
      </c>
      <c r="I39" s="12" t="s">
        <v>243</v>
      </c>
      <c r="J39">
        <v>2</v>
      </c>
      <c r="K39" s="13"/>
    </row>
    <row r="40" spans="1:11" x14ac:dyDescent="0.3">
      <c r="A40" s="7">
        <v>45571521</v>
      </c>
      <c r="B40">
        <v>62</v>
      </c>
      <c r="C40" s="11">
        <v>46162.531924537034</v>
      </c>
      <c r="D40" s="12" t="s">
        <v>131</v>
      </c>
      <c r="E40" s="12" t="s">
        <v>130</v>
      </c>
      <c r="G40" s="12" t="s">
        <v>243</v>
      </c>
      <c r="H40" s="12" t="s">
        <v>90</v>
      </c>
      <c r="I40" s="12" t="s">
        <v>243</v>
      </c>
      <c r="J40">
        <v>2</v>
      </c>
      <c r="K40" s="13"/>
    </row>
    <row r="41" spans="1:11" x14ac:dyDescent="0.3">
      <c r="A41" s="7">
        <v>43870592</v>
      </c>
      <c r="B41">
        <v>63</v>
      </c>
      <c r="C41" s="11">
        <v>46162.531924537034</v>
      </c>
      <c r="D41" s="12" t="s">
        <v>119</v>
      </c>
      <c r="E41" s="12" t="s">
        <v>132</v>
      </c>
      <c r="G41" s="12" t="s">
        <v>243</v>
      </c>
      <c r="H41" s="12" t="s">
        <v>90</v>
      </c>
      <c r="I41" s="12" t="s">
        <v>243</v>
      </c>
      <c r="J41">
        <v>2</v>
      </c>
      <c r="K41" s="13"/>
    </row>
    <row r="42" spans="1:11" x14ac:dyDescent="0.3">
      <c r="A42" s="7">
        <v>39657307</v>
      </c>
      <c r="B42">
        <v>64</v>
      </c>
      <c r="C42" s="11">
        <v>46162.531924537034</v>
      </c>
      <c r="D42" s="12" t="s">
        <v>134</v>
      </c>
      <c r="E42" s="12" t="s">
        <v>133</v>
      </c>
      <c r="G42" s="12" t="s">
        <v>243</v>
      </c>
      <c r="H42" s="12" t="s">
        <v>90</v>
      </c>
      <c r="I42" s="12" t="s">
        <v>243</v>
      </c>
      <c r="J42">
        <v>2</v>
      </c>
      <c r="K42" s="13"/>
    </row>
    <row r="43" spans="1:11" x14ac:dyDescent="0.3">
      <c r="A43" s="7">
        <v>46209547</v>
      </c>
      <c r="B43">
        <v>65</v>
      </c>
      <c r="C43" s="11">
        <v>46162.531924537034</v>
      </c>
      <c r="D43" s="12" t="s">
        <v>136</v>
      </c>
      <c r="E43" s="12" t="s">
        <v>135</v>
      </c>
      <c r="G43" s="12" t="s">
        <v>243</v>
      </c>
      <c r="H43" s="12" t="s">
        <v>90</v>
      </c>
      <c r="I43" s="12" t="s">
        <v>243</v>
      </c>
      <c r="J43">
        <v>2</v>
      </c>
      <c r="K43" s="13"/>
    </row>
    <row r="44" spans="1:11" x14ac:dyDescent="0.3">
      <c r="A44" s="7">
        <v>26046885</v>
      </c>
      <c r="B44">
        <v>66</v>
      </c>
      <c r="C44" s="11">
        <v>46162.531924537034</v>
      </c>
      <c r="D44" s="12" t="s">
        <v>138</v>
      </c>
      <c r="E44" s="12" t="s">
        <v>137</v>
      </c>
      <c r="G44" s="12" t="s">
        <v>243</v>
      </c>
      <c r="H44" s="12" t="s">
        <v>90</v>
      </c>
      <c r="I44" s="12" t="s">
        <v>243</v>
      </c>
      <c r="J44">
        <v>2</v>
      </c>
      <c r="K44" s="13"/>
    </row>
    <row r="45" spans="1:11" x14ac:dyDescent="0.3">
      <c r="A45" s="7">
        <v>46211875</v>
      </c>
      <c r="B45">
        <v>67</v>
      </c>
      <c r="C45" s="11">
        <v>46162.531924537034</v>
      </c>
      <c r="D45" s="12" t="s">
        <v>140</v>
      </c>
      <c r="E45" s="12" t="s">
        <v>139</v>
      </c>
      <c r="G45" s="12" t="s">
        <v>243</v>
      </c>
      <c r="H45" s="12" t="s">
        <v>90</v>
      </c>
      <c r="I45" s="12" t="s">
        <v>243</v>
      </c>
      <c r="J45">
        <v>2</v>
      </c>
      <c r="K45" s="13"/>
    </row>
    <row r="46" spans="1:11" x14ac:dyDescent="0.3">
      <c r="A46" s="7">
        <v>42340901</v>
      </c>
      <c r="B46">
        <v>68</v>
      </c>
      <c r="C46" s="11">
        <v>46162.531924537034</v>
      </c>
      <c r="D46" s="12" t="s">
        <v>142</v>
      </c>
      <c r="E46" s="12" t="s">
        <v>141</v>
      </c>
      <c r="G46" s="12" t="s">
        <v>243</v>
      </c>
      <c r="H46" s="12" t="s">
        <v>90</v>
      </c>
      <c r="I46" s="12" t="s">
        <v>243</v>
      </c>
      <c r="J46">
        <v>2</v>
      </c>
      <c r="K46" s="13"/>
    </row>
    <row r="47" spans="1:11" x14ac:dyDescent="0.3">
      <c r="A47" s="7">
        <v>36359940</v>
      </c>
      <c r="B47">
        <v>69</v>
      </c>
      <c r="C47" s="11">
        <v>46162.531924537034</v>
      </c>
      <c r="D47" s="12" t="s">
        <v>144</v>
      </c>
      <c r="E47" s="12" t="s">
        <v>143</v>
      </c>
      <c r="G47" s="12" t="s">
        <v>243</v>
      </c>
      <c r="H47" s="12" t="s">
        <v>90</v>
      </c>
      <c r="I47" s="12" t="s">
        <v>243</v>
      </c>
      <c r="J47">
        <v>2</v>
      </c>
      <c r="K47" s="13"/>
    </row>
    <row r="48" spans="1:11" x14ac:dyDescent="0.3">
      <c r="A48" s="7">
        <v>38455371</v>
      </c>
      <c r="B48">
        <v>70</v>
      </c>
      <c r="C48" s="11">
        <v>46162.531924537034</v>
      </c>
      <c r="D48" s="12" t="s">
        <v>146</v>
      </c>
      <c r="E48" s="12" t="s">
        <v>145</v>
      </c>
      <c r="G48" s="12" t="s">
        <v>243</v>
      </c>
      <c r="H48" s="12" t="s">
        <v>90</v>
      </c>
      <c r="I48" s="12" t="s">
        <v>243</v>
      </c>
      <c r="J48">
        <v>2</v>
      </c>
      <c r="K48" s="13"/>
    </row>
    <row r="49" spans="1:11" x14ac:dyDescent="0.3">
      <c r="A49" s="7">
        <v>35973835</v>
      </c>
      <c r="B49">
        <v>71</v>
      </c>
      <c r="C49" s="11">
        <v>46162.531924537034</v>
      </c>
      <c r="D49" s="12" t="s">
        <v>148</v>
      </c>
      <c r="E49" s="12" t="s">
        <v>147</v>
      </c>
      <c r="G49" s="12" t="s">
        <v>243</v>
      </c>
      <c r="H49" s="12" t="s">
        <v>90</v>
      </c>
      <c r="I49" s="12" t="s">
        <v>243</v>
      </c>
      <c r="J49">
        <v>2</v>
      </c>
      <c r="K49" s="13"/>
    </row>
    <row r="50" spans="1:11" x14ac:dyDescent="0.3">
      <c r="A50" s="7">
        <v>35960229</v>
      </c>
      <c r="B50">
        <v>72</v>
      </c>
      <c r="C50" s="11">
        <v>46162.531924537034</v>
      </c>
      <c r="D50" s="12" t="s">
        <v>150</v>
      </c>
      <c r="E50" s="12" t="s">
        <v>149</v>
      </c>
      <c r="G50" s="12" t="s">
        <v>243</v>
      </c>
      <c r="H50" s="12" t="s">
        <v>90</v>
      </c>
      <c r="I50" s="12" t="s">
        <v>243</v>
      </c>
      <c r="J50">
        <v>2</v>
      </c>
      <c r="K50" s="13"/>
    </row>
    <row r="51" spans="1:11" x14ac:dyDescent="0.3">
      <c r="A51" s="7">
        <v>46210569</v>
      </c>
      <c r="B51">
        <v>73</v>
      </c>
      <c r="C51" s="11">
        <v>46162.531924537034</v>
      </c>
      <c r="D51" s="12" t="s">
        <v>152</v>
      </c>
      <c r="E51" s="12" t="s">
        <v>151</v>
      </c>
      <c r="G51" s="12" t="s">
        <v>243</v>
      </c>
      <c r="H51" s="12" t="s">
        <v>90</v>
      </c>
      <c r="I51" s="12" t="s">
        <v>243</v>
      </c>
      <c r="J51">
        <v>2</v>
      </c>
      <c r="K51" s="13"/>
    </row>
    <row r="52" spans="1:11" x14ac:dyDescent="0.3">
      <c r="A52" s="7">
        <v>38710028</v>
      </c>
      <c r="B52">
        <v>74</v>
      </c>
      <c r="C52" s="11">
        <v>46162.531924537034</v>
      </c>
      <c r="D52" s="12" t="s">
        <v>154</v>
      </c>
      <c r="E52" s="12" t="s">
        <v>153</v>
      </c>
      <c r="G52" s="12" t="s">
        <v>243</v>
      </c>
      <c r="H52" s="12" t="s">
        <v>90</v>
      </c>
      <c r="I52" s="12" t="s">
        <v>243</v>
      </c>
      <c r="J52">
        <v>2</v>
      </c>
      <c r="K52" s="13"/>
    </row>
    <row r="53" spans="1:11" x14ac:dyDescent="0.3">
      <c r="A53" s="7">
        <v>35793403</v>
      </c>
      <c r="B53">
        <v>75</v>
      </c>
      <c r="C53" s="11">
        <v>46162.531924537034</v>
      </c>
      <c r="D53" s="12" t="s">
        <v>156</v>
      </c>
      <c r="E53" s="12" t="s">
        <v>155</v>
      </c>
      <c r="G53" s="12" t="s">
        <v>243</v>
      </c>
      <c r="H53" s="12" t="s">
        <v>90</v>
      </c>
      <c r="I53" s="12" t="s">
        <v>243</v>
      </c>
      <c r="J53">
        <v>2</v>
      </c>
      <c r="K53" s="13"/>
    </row>
    <row r="54" spans="1:11" x14ac:dyDescent="0.3">
      <c r="A54" s="7">
        <v>46213466</v>
      </c>
      <c r="B54">
        <v>76</v>
      </c>
      <c r="C54" s="11">
        <v>46162.531924537034</v>
      </c>
      <c r="D54" s="12" t="s">
        <v>158</v>
      </c>
      <c r="E54" s="12" t="s">
        <v>157</v>
      </c>
      <c r="G54" s="12" t="s">
        <v>243</v>
      </c>
      <c r="H54" s="12" t="s">
        <v>90</v>
      </c>
      <c r="I54" s="12" t="s">
        <v>243</v>
      </c>
      <c r="J54">
        <v>2</v>
      </c>
      <c r="K54" s="13"/>
    </row>
    <row r="55" spans="1:11" x14ac:dyDescent="0.3">
      <c r="A55" s="7">
        <v>47170638</v>
      </c>
      <c r="B55">
        <v>77</v>
      </c>
      <c r="C55" s="11">
        <v>46162.531924537034</v>
      </c>
      <c r="D55" s="12" t="s">
        <v>160</v>
      </c>
      <c r="E55" s="12" t="s">
        <v>159</v>
      </c>
      <c r="G55" s="12" t="s">
        <v>243</v>
      </c>
      <c r="H55" s="12" t="s">
        <v>90</v>
      </c>
      <c r="I55" s="12" t="s">
        <v>243</v>
      </c>
      <c r="J55">
        <v>2</v>
      </c>
      <c r="K55" s="13"/>
    </row>
    <row r="56" spans="1:11" x14ac:dyDescent="0.3">
      <c r="A56" s="7">
        <v>44729576</v>
      </c>
      <c r="B56">
        <v>78</v>
      </c>
      <c r="C56" s="11">
        <v>46162.531924537034</v>
      </c>
      <c r="D56" s="12" t="s">
        <v>131</v>
      </c>
      <c r="E56" s="12" t="s">
        <v>161</v>
      </c>
      <c r="G56" s="12" t="s">
        <v>243</v>
      </c>
      <c r="H56" s="12" t="s">
        <v>90</v>
      </c>
      <c r="I56" s="12" t="s">
        <v>243</v>
      </c>
      <c r="J56">
        <v>2</v>
      </c>
      <c r="K56" s="13"/>
    </row>
    <row r="57" spans="1:11" x14ac:dyDescent="0.3">
      <c r="A57" s="7">
        <v>42821910</v>
      </c>
      <c r="B57">
        <v>79</v>
      </c>
      <c r="C57" s="11">
        <v>46162.531924537034</v>
      </c>
      <c r="D57" s="12" t="s">
        <v>163</v>
      </c>
      <c r="E57" s="12" t="s">
        <v>162</v>
      </c>
      <c r="G57" s="12" t="s">
        <v>243</v>
      </c>
      <c r="H57" s="12" t="s">
        <v>90</v>
      </c>
      <c r="I57" s="12" t="s">
        <v>243</v>
      </c>
      <c r="J57">
        <v>2</v>
      </c>
      <c r="K57" s="13"/>
    </row>
    <row r="58" spans="1:11" x14ac:dyDescent="0.3">
      <c r="A58" s="7">
        <v>45686803</v>
      </c>
      <c r="B58">
        <v>80</v>
      </c>
      <c r="C58" s="11">
        <v>46162.531924537034</v>
      </c>
      <c r="D58" s="12" t="s">
        <v>164</v>
      </c>
      <c r="E58" s="12" t="s">
        <v>162</v>
      </c>
      <c r="G58" s="12" t="s">
        <v>243</v>
      </c>
      <c r="H58" s="12" t="s">
        <v>90</v>
      </c>
      <c r="I58" s="12" t="s">
        <v>243</v>
      </c>
      <c r="J58">
        <v>2</v>
      </c>
      <c r="K58" s="13"/>
    </row>
    <row r="59" spans="1:11" x14ac:dyDescent="0.3">
      <c r="A59" s="7">
        <v>42013957</v>
      </c>
      <c r="B59">
        <v>81</v>
      </c>
      <c r="C59" s="11">
        <v>46162.531924537034</v>
      </c>
      <c r="D59" s="12" t="s">
        <v>115</v>
      </c>
      <c r="E59" s="12" t="s">
        <v>165</v>
      </c>
      <c r="G59" s="12" t="s">
        <v>243</v>
      </c>
      <c r="H59" s="12" t="s">
        <v>90</v>
      </c>
      <c r="I59" s="12" t="s">
        <v>243</v>
      </c>
      <c r="J59">
        <v>2</v>
      </c>
      <c r="K59" s="13"/>
    </row>
    <row r="60" spans="1:11" x14ac:dyDescent="0.3">
      <c r="A60" s="7">
        <v>43010600</v>
      </c>
      <c r="B60">
        <v>82</v>
      </c>
      <c r="C60" s="11">
        <v>46162.531924537034</v>
      </c>
      <c r="D60" s="12" t="s">
        <v>163</v>
      </c>
      <c r="E60" s="12" t="s">
        <v>166</v>
      </c>
      <c r="G60" s="12" t="s">
        <v>243</v>
      </c>
      <c r="H60" s="12" t="s">
        <v>90</v>
      </c>
      <c r="I60" s="12" t="s">
        <v>243</v>
      </c>
      <c r="J60">
        <v>2</v>
      </c>
      <c r="K60" s="13"/>
    </row>
    <row r="61" spans="1:11" x14ac:dyDescent="0.3">
      <c r="A61" s="7">
        <v>45753658</v>
      </c>
      <c r="B61">
        <v>83</v>
      </c>
      <c r="C61" s="11">
        <v>46162.531924537034</v>
      </c>
      <c r="D61" s="12" t="s">
        <v>168</v>
      </c>
      <c r="E61" s="12" t="s">
        <v>167</v>
      </c>
      <c r="G61" s="12" t="s">
        <v>243</v>
      </c>
      <c r="H61" s="12" t="s">
        <v>90</v>
      </c>
      <c r="I61" s="12" t="s">
        <v>243</v>
      </c>
      <c r="J61">
        <v>2</v>
      </c>
      <c r="K61" s="13"/>
    </row>
    <row r="62" spans="1:11" x14ac:dyDescent="0.3">
      <c r="A62" s="7">
        <v>47127274</v>
      </c>
      <c r="B62">
        <v>84</v>
      </c>
      <c r="C62" s="11">
        <v>46162.531924537034</v>
      </c>
      <c r="D62" s="12" t="s">
        <v>170</v>
      </c>
      <c r="E62" s="12" t="s">
        <v>169</v>
      </c>
      <c r="G62" s="12" t="s">
        <v>243</v>
      </c>
      <c r="H62" s="12" t="s">
        <v>90</v>
      </c>
      <c r="I62" s="12" t="s">
        <v>243</v>
      </c>
      <c r="J62">
        <v>2</v>
      </c>
      <c r="K62" s="13"/>
    </row>
    <row r="63" spans="1:11" x14ac:dyDescent="0.3">
      <c r="A63" s="7">
        <v>45581587</v>
      </c>
      <c r="B63">
        <v>85</v>
      </c>
      <c r="C63" s="11">
        <v>46162.531924537034</v>
      </c>
      <c r="D63" s="12" t="s">
        <v>152</v>
      </c>
      <c r="E63" s="12" t="s">
        <v>171</v>
      </c>
      <c r="G63" s="12" t="s">
        <v>243</v>
      </c>
      <c r="H63" s="12" t="s">
        <v>90</v>
      </c>
      <c r="I63" s="12" t="s">
        <v>243</v>
      </c>
      <c r="J63">
        <v>2</v>
      </c>
      <c r="K63" s="13"/>
    </row>
    <row r="64" spans="1:11" x14ac:dyDescent="0.3">
      <c r="A64" s="7">
        <v>47787084</v>
      </c>
      <c r="B64">
        <v>86</v>
      </c>
      <c r="C64" s="11">
        <v>46162.531924537034</v>
      </c>
      <c r="D64" s="12" t="s">
        <v>173</v>
      </c>
      <c r="E64" s="12" t="s">
        <v>172</v>
      </c>
      <c r="G64" s="12" t="s">
        <v>243</v>
      </c>
      <c r="H64" s="12" t="s">
        <v>90</v>
      </c>
      <c r="I64" s="12" t="s">
        <v>243</v>
      </c>
      <c r="J64">
        <v>2</v>
      </c>
      <c r="K64" s="13"/>
    </row>
    <row r="65" spans="1:11" x14ac:dyDescent="0.3">
      <c r="A65" s="7">
        <v>37424399</v>
      </c>
      <c r="B65">
        <v>87</v>
      </c>
      <c r="C65" s="11">
        <v>46162.531924537034</v>
      </c>
      <c r="D65" s="12" t="s">
        <v>175</v>
      </c>
      <c r="E65" s="12" t="s">
        <v>174</v>
      </c>
      <c r="G65" s="12" t="s">
        <v>243</v>
      </c>
      <c r="H65" s="12" t="s">
        <v>90</v>
      </c>
      <c r="I65" s="12" t="s">
        <v>243</v>
      </c>
      <c r="J65">
        <v>2</v>
      </c>
      <c r="K65" s="13"/>
    </row>
    <row r="66" spans="1:11" x14ac:dyDescent="0.3">
      <c r="A66" s="7">
        <v>41665220</v>
      </c>
      <c r="B66">
        <v>88</v>
      </c>
      <c r="C66" s="11">
        <v>46162.531924537034</v>
      </c>
      <c r="D66" s="12" t="s">
        <v>177</v>
      </c>
      <c r="E66" s="12" t="s">
        <v>176</v>
      </c>
      <c r="G66" s="12" t="s">
        <v>243</v>
      </c>
      <c r="H66" s="12" t="s">
        <v>90</v>
      </c>
      <c r="I66" s="12" t="s">
        <v>243</v>
      </c>
      <c r="J66">
        <v>2</v>
      </c>
      <c r="K66" s="13"/>
    </row>
    <row r="67" spans="1:11" x14ac:dyDescent="0.3">
      <c r="A67" s="7">
        <v>41394671</v>
      </c>
      <c r="B67">
        <v>89</v>
      </c>
      <c r="C67" s="11">
        <v>46162.531924537034</v>
      </c>
      <c r="D67" s="12" t="s">
        <v>179</v>
      </c>
      <c r="E67" s="12" t="s">
        <v>178</v>
      </c>
      <c r="G67" s="12" t="s">
        <v>243</v>
      </c>
      <c r="H67" s="12" t="s">
        <v>90</v>
      </c>
      <c r="I67" s="12" t="s">
        <v>243</v>
      </c>
      <c r="J67">
        <v>2</v>
      </c>
      <c r="K67" s="13"/>
    </row>
    <row r="68" spans="1:11" x14ac:dyDescent="0.3">
      <c r="A68" s="7">
        <v>44158148</v>
      </c>
      <c r="B68">
        <v>90</v>
      </c>
      <c r="C68" s="11">
        <v>46162.531924537034</v>
      </c>
      <c r="D68" s="12" t="s">
        <v>180</v>
      </c>
      <c r="E68" s="12" t="s">
        <v>178</v>
      </c>
      <c r="G68" s="12" t="s">
        <v>243</v>
      </c>
      <c r="H68" s="12" t="s">
        <v>90</v>
      </c>
      <c r="I68" s="12" t="s">
        <v>243</v>
      </c>
      <c r="J68">
        <v>2</v>
      </c>
      <c r="K68" s="13"/>
    </row>
    <row r="69" spans="1:11" x14ac:dyDescent="0.3">
      <c r="A69" s="7">
        <v>38424153</v>
      </c>
      <c r="B69">
        <v>91</v>
      </c>
      <c r="C69" s="11">
        <v>46162.531924537034</v>
      </c>
      <c r="D69" s="12" t="s">
        <v>182</v>
      </c>
      <c r="E69" s="12" t="s">
        <v>181</v>
      </c>
      <c r="G69" s="12" t="s">
        <v>243</v>
      </c>
      <c r="H69" s="12" t="s">
        <v>90</v>
      </c>
      <c r="I69" s="12" t="s">
        <v>243</v>
      </c>
      <c r="J69">
        <v>2</v>
      </c>
      <c r="K69" s="13"/>
    </row>
    <row r="70" spans="1:11" x14ac:dyDescent="0.3">
      <c r="A70" s="7">
        <v>45013618</v>
      </c>
      <c r="B70">
        <v>92</v>
      </c>
      <c r="C70" s="11">
        <v>46162.531924537034</v>
      </c>
      <c r="D70" s="12" t="s">
        <v>184</v>
      </c>
      <c r="E70" s="12" t="s">
        <v>183</v>
      </c>
      <c r="G70" s="12" t="s">
        <v>243</v>
      </c>
      <c r="H70" s="12" t="s">
        <v>90</v>
      </c>
      <c r="I70" s="12" t="s">
        <v>243</v>
      </c>
      <c r="J70">
        <v>2</v>
      </c>
      <c r="K70" s="13"/>
    </row>
    <row r="71" spans="1:11" x14ac:dyDescent="0.3">
      <c r="A71" s="7">
        <v>47292142</v>
      </c>
      <c r="B71">
        <v>93</v>
      </c>
      <c r="C71" s="11">
        <v>46162.531924537034</v>
      </c>
      <c r="D71" s="12" t="s">
        <v>185</v>
      </c>
      <c r="E71" s="12" t="s">
        <v>183</v>
      </c>
      <c r="G71" s="12" t="s">
        <v>243</v>
      </c>
      <c r="H71" s="12" t="s">
        <v>90</v>
      </c>
      <c r="I71" s="12" t="s">
        <v>243</v>
      </c>
      <c r="J71">
        <v>2</v>
      </c>
      <c r="K71" s="13"/>
    </row>
    <row r="72" spans="1:11" x14ac:dyDescent="0.3">
      <c r="A72" s="7">
        <v>43086645</v>
      </c>
      <c r="B72">
        <v>94</v>
      </c>
      <c r="C72" s="11">
        <v>46162.531924537034</v>
      </c>
      <c r="D72" s="12" t="s">
        <v>175</v>
      </c>
      <c r="E72" s="12" t="s">
        <v>186</v>
      </c>
      <c r="G72" s="12" t="s">
        <v>243</v>
      </c>
      <c r="H72" s="12" t="s">
        <v>90</v>
      </c>
      <c r="I72" s="12" t="s">
        <v>243</v>
      </c>
      <c r="J72">
        <v>2</v>
      </c>
      <c r="K72" s="13"/>
    </row>
    <row r="73" spans="1:11" x14ac:dyDescent="0.3">
      <c r="A73" s="7">
        <v>34890117</v>
      </c>
      <c r="B73">
        <v>95</v>
      </c>
      <c r="C73" s="11">
        <v>46162.531924537034</v>
      </c>
      <c r="D73" s="12" t="s">
        <v>188</v>
      </c>
      <c r="E73" s="12" t="s">
        <v>187</v>
      </c>
      <c r="G73" s="12" t="s">
        <v>243</v>
      </c>
      <c r="H73" s="12" t="s">
        <v>90</v>
      </c>
      <c r="I73" s="12" t="s">
        <v>243</v>
      </c>
      <c r="J73">
        <v>2</v>
      </c>
      <c r="K73" s="13"/>
    </row>
    <row r="74" spans="1:11" x14ac:dyDescent="0.3">
      <c r="A74" s="7">
        <v>37143159</v>
      </c>
      <c r="B74">
        <v>96</v>
      </c>
      <c r="C74" s="11">
        <v>46162.531924537034</v>
      </c>
      <c r="D74" s="12" t="s">
        <v>190</v>
      </c>
      <c r="E74" s="12" t="s">
        <v>189</v>
      </c>
      <c r="G74" s="12" t="s">
        <v>243</v>
      </c>
      <c r="H74" s="12" t="s">
        <v>90</v>
      </c>
      <c r="I74" s="12" t="s">
        <v>243</v>
      </c>
      <c r="J74">
        <v>2</v>
      </c>
      <c r="K74" s="13"/>
    </row>
    <row r="75" spans="1:11" x14ac:dyDescent="0.3">
      <c r="A75" s="7">
        <v>38707813</v>
      </c>
      <c r="B75">
        <v>97</v>
      </c>
      <c r="C75" s="11">
        <v>46162.531924537034</v>
      </c>
      <c r="D75" s="12" t="s">
        <v>192</v>
      </c>
      <c r="E75" s="12" t="s">
        <v>191</v>
      </c>
      <c r="G75" s="12" t="s">
        <v>243</v>
      </c>
      <c r="H75" s="12" t="s">
        <v>90</v>
      </c>
      <c r="I75" s="12" t="s">
        <v>243</v>
      </c>
      <c r="J75">
        <v>2</v>
      </c>
      <c r="K75" s="13"/>
    </row>
    <row r="76" spans="1:11" x14ac:dyDescent="0.3">
      <c r="A76" s="7">
        <v>42146024</v>
      </c>
      <c r="B76">
        <v>98</v>
      </c>
      <c r="C76" s="11">
        <v>46162.531924537034</v>
      </c>
      <c r="D76" s="12" t="s">
        <v>194</v>
      </c>
      <c r="E76" s="12" t="s">
        <v>193</v>
      </c>
      <c r="G76" s="12" t="s">
        <v>243</v>
      </c>
      <c r="H76" s="12" t="s">
        <v>90</v>
      </c>
      <c r="I76" s="12" t="s">
        <v>243</v>
      </c>
      <c r="J76">
        <v>2</v>
      </c>
      <c r="K76" s="13"/>
    </row>
    <row r="77" spans="1:11" x14ac:dyDescent="0.3">
      <c r="A77" s="7">
        <v>44788841</v>
      </c>
      <c r="B77">
        <v>99</v>
      </c>
      <c r="C77" s="11">
        <v>46162.531924537034</v>
      </c>
      <c r="D77" s="12" t="s">
        <v>196</v>
      </c>
      <c r="E77" s="12" t="s">
        <v>195</v>
      </c>
      <c r="G77" s="12" t="s">
        <v>243</v>
      </c>
      <c r="H77" s="12" t="s">
        <v>90</v>
      </c>
      <c r="I77" s="12" t="s">
        <v>243</v>
      </c>
      <c r="J77">
        <v>2</v>
      </c>
      <c r="K77" s="13"/>
    </row>
    <row r="78" spans="1:11" x14ac:dyDescent="0.3">
      <c r="A78" s="7">
        <v>47168882</v>
      </c>
      <c r="B78">
        <v>100</v>
      </c>
      <c r="C78" s="11">
        <v>46162.531924537034</v>
      </c>
      <c r="D78" s="12" t="s">
        <v>198</v>
      </c>
      <c r="E78" s="12" t="s">
        <v>197</v>
      </c>
      <c r="G78" s="12" t="s">
        <v>243</v>
      </c>
      <c r="H78" s="12" t="s">
        <v>90</v>
      </c>
      <c r="I78" s="12" t="s">
        <v>243</v>
      </c>
      <c r="J78">
        <v>2</v>
      </c>
      <c r="K78" s="13"/>
    </row>
    <row r="79" spans="1:11" x14ac:dyDescent="0.3">
      <c r="A79" s="7">
        <v>39654261</v>
      </c>
      <c r="B79">
        <v>101</v>
      </c>
      <c r="C79" s="11">
        <v>46162.531924537034</v>
      </c>
      <c r="D79" s="12" t="s">
        <v>152</v>
      </c>
      <c r="E79" s="12" t="s">
        <v>199</v>
      </c>
      <c r="G79" s="12" t="s">
        <v>243</v>
      </c>
      <c r="H79" s="12" t="s">
        <v>90</v>
      </c>
      <c r="I79" s="12" t="s">
        <v>243</v>
      </c>
      <c r="J79">
        <v>2</v>
      </c>
      <c r="K79" s="13"/>
    </row>
    <row r="80" spans="1:11" x14ac:dyDescent="0.3">
      <c r="A80" s="7">
        <v>42647195</v>
      </c>
      <c r="B80">
        <v>102</v>
      </c>
      <c r="C80" s="11">
        <v>46162.531924537034</v>
      </c>
      <c r="D80" s="12" t="s">
        <v>201</v>
      </c>
      <c r="E80" s="12" t="s">
        <v>200</v>
      </c>
      <c r="G80" s="12" t="s">
        <v>243</v>
      </c>
      <c r="H80" s="12" t="s">
        <v>90</v>
      </c>
      <c r="I80" s="12" t="s">
        <v>243</v>
      </c>
      <c r="J80">
        <v>2</v>
      </c>
      <c r="K80" s="13"/>
    </row>
    <row r="81" spans="1:11" x14ac:dyDescent="0.3">
      <c r="A81" s="7">
        <v>44852158</v>
      </c>
      <c r="B81">
        <v>103</v>
      </c>
      <c r="C81" s="11">
        <v>46162.531924537034</v>
      </c>
      <c r="D81" s="12" t="s">
        <v>203</v>
      </c>
      <c r="E81" s="12" t="s">
        <v>202</v>
      </c>
      <c r="G81" s="12" t="s">
        <v>243</v>
      </c>
      <c r="H81" s="12" t="s">
        <v>90</v>
      </c>
      <c r="I81" s="12" t="s">
        <v>243</v>
      </c>
      <c r="J81">
        <v>2</v>
      </c>
      <c r="K81" s="13"/>
    </row>
    <row r="82" spans="1:11" x14ac:dyDescent="0.3">
      <c r="A82" s="7">
        <v>43871968</v>
      </c>
      <c r="B82">
        <v>104</v>
      </c>
      <c r="C82" s="11">
        <v>46162.531924537034</v>
      </c>
      <c r="D82" s="12" t="s">
        <v>205</v>
      </c>
      <c r="E82" s="12" t="s">
        <v>204</v>
      </c>
      <c r="G82" s="12" t="s">
        <v>243</v>
      </c>
      <c r="H82" s="12" t="s">
        <v>90</v>
      </c>
      <c r="I82" s="12" t="s">
        <v>243</v>
      </c>
      <c r="J82">
        <v>2</v>
      </c>
      <c r="K82" s="13"/>
    </row>
    <row r="83" spans="1:11" x14ac:dyDescent="0.3">
      <c r="A83" s="7">
        <v>43872921</v>
      </c>
      <c r="B83">
        <v>105</v>
      </c>
      <c r="C83" s="11">
        <v>46162.531924537034</v>
      </c>
      <c r="D83" s="12" t="s">
        <v>207</v>
      </c>
      <c r="E83" s="12" t="s">
        <v>206</v>
      </c>
      <c r="G83" s="12" t="s">
        <v>243</v>
      </c>
      <c r="H83" s="12" t="s">
        <v>90</v>
      </c>
      <c r="I83" s="12" t="s">
        <v>243</v>
      </c>
      <c r="J83">
        <v>2</v>
      </c>
      <c r="K83" s="13"/>
    </row>
    <row r="84" spans="1:11" x14ac:dyDescent="0.3">
      <c r="A84" s="7">
        <v>44770218</v>
      </c>
      <c r="B84">
        <v>106</v>
      </c>
      <c r="C84" s="11">
        <v>46162.531924537034</v>
      </c>
      <c r="D84" s="12" t="s">
        <v>115</v>
      </c>
      <c r="E84" s="12" t="s">
        <v>208</v>
      </c>
      <c r="G84" s="12" t="s">
        <v>243</v>
      </c>
      <c r="H84" s="12" t="s">
        <v>90</v>
      </c>
      <c r="I84" s="12" t="s">
        <v>243</v>
      </c>
      <c r="J84">
        <v>2</v>
      </c>
      <c r="K84" s="13"/>
    </row>
    <row r="85" spans="1:11" x14ac:dyDescent="0.3">
      <c r="A85" s="7">
        <v>45822830</v>
      </c>
      <c r="B85">
        <v>107</v>
      </c>
      <c r="C85" s="11">
        <v>46162.531924537034</v>
      </c>
      <c r="D85" s="12" t="s">
        <v>209</v>
      </c>
      <c r="E85" s="12" t="s">
        <v>208</v>
      </c>
      <c r="G85" s="12" t="s">
        <v>243</v>
      </c>
      <c r="H85" s="12" t="s">
        <v>90</v>
      </c>
      <c r="I85" s="12" t="s">
        <v>243</v>
      </c>
      <c r="J85">
        <v>2</v>
      </c>
      <c r="K85" s="13"/>
    </row>
    <row r="86" spans="1:11" x14ac:dyDescent="0.3">
      <c r="A86" s="7">
        <v>47130740</v>
      </c>
      <c r="B86">
        <v>108</v>
      </c>
      <c r="C86" s="11">
        <v>46162.531924537034</v>
      </c>
      <c r="D86" s="12" t="s">
        <v>211</v>
      </c>
      <c r="E86" s="12" t="s">
        <v>210</v>
      </c>
      <c r="G86" s="12" t="s">
        <v>243</v>
      </c>
      <c r="H86" s="12" t="s">
        <v>90</v>
      </c>
      <c r="I86" s="12" t="s">
        <v>243</v>
      </c>
      <c r="J86">
        <v>2</v>
      </c>
      <c r="K86" s="13"/>
    </row>
    <row r="87" spans="1:11" x14ac:dyDescent="0.3">
      <c r="A87" s="7">
        <v>94317983</v>
      </c>
      <c r="B87">
        <v>109</v>
      </c>
      <c r="C87" s="11">
        <v>46162.531924537034</v>
      </c>
      <c r="D87" s="12" t="s">
        <v>213</v>
      </c>
      <c r="E87" s="12" t="s">
        <v>212</v>
      </c>
      <c r="G87" s="12" t="s">
        <v>243</v>
      </c>
      <c r="H87" s="12" t="s">
        <v>90</v>
      </c>
      <c r="I87" s="12" t="s">
        <v>243</v>
      </c>
      <c r="J87">
        <v>2</v>
      </c>
      <c r="K87" s="13"/>
    </row>
    <row r="88" spans="1:11" x14ac:dyDescent="0.3">
      <c r="A88" s="7">
        <v>40539626</v>
      </c>
      <c r="B88">
        <v>110</v>
      </c>
      <c r="C88" s="11">
        <v>46162.531924537034</v>
      </c>
      <c r="D88" s="12" t="s">
        <v>215</v>
      </c>
      <c r="E88" s="12" t="s">
        <v>214</v>
      </c>
      <c r="G88" s="12" t="s">
        <v>243</v>
      </c>
      <c r="H88" s="12" t="s">
        <v>90</v>
      </c>
      <c r="I88" s="12" t="s">
        <v>243</v>
      </c>
      <c r="J88">
        <v>2</v>
      </c>
      <c r="K88" s="13"/>
    </row>
    <row r="89" spans="1:11" x14ac:dyDescent="0.3">
      <c r="A89" s="7">
        <v>32382777</v>
      </c>
      <c r="B89">
        <v>111</v>
      </c>
      <c r="C89" s="11">
        <v>46162.531924537034</v>
      </c>
      <c r="D89" s="12" t="s">
        <v>123</v>
      </c>
      <c r="E89" s="12" t="s">
        <v>216</v>
      </c>
      <c r="G89" s="12" t="s">
        <v>243</v>
      </c>
      <c r="H89" s="12" t="s">
        <v>90</v>
      </c>
      <c r="I89" s="12" t="s">
        <v>243</v>
      </c>
      <c r="J89">
        <v>2</v>
      </c>
      <c r="K89" s="13"/>
    </row>
    <row r="90" spans="1:11" x14ac:dyDescent="0.3">
      <c r="A90" s="7">
        <v>40511949</v>
      </c>
      <c r="B90">
        <v>112</v>
      </c>
      <c r="C90" s="11">
        <v>46162.531924537034</v>
      </c>
      <c r="D90" s="12" t="s">
        <v>163</v>
      </c>
      <c r="E90" s="12" t="s">
        <v>217</v>
      </c>
      <c r="G90" s="12" t="s">
        <v>243</v>
      </c>
      <c r="H90" s="12" t="s">
        <v>90</v>
      </c>
      <c r="I90" s="12" t="s">
        <v>243</v>
      </c>
      <c r="J90">
        <v>2</v>
      </c>
      <c r="K90" s="13"/>
    </row>
    <row r="91" spans="1:11" x14ac:dyDescent="0.3">
      <c r="B91">
        <v>113</v>
      </c>
      <c r="C91" s="11">
        <v>46162.531924537034</v>
      </c>
      <c r="D91" s="12" t="s">
        <v>219</v>
      </c>
      <c r="E91" s="12" t="s">
        <v>218</v>
      </c>
      <c r="G91" s="12" t="s">
        <v>243</v>
      </c>
      <c r="H91" s="12" t="s">
        <v>90</v>
      </c>
      <c r="I91" s="12" t="s">
        <v>243</v>
      </c>
      <c r="J91">
        <v>2</v>
      </c>
      <c r="K91" s="13"/>
    </row>
    <row r="92" spans="1:11" x14ac:dyDescent="0.3">
      <c r="A92" s="7">
        <v>42024019</v>
      </c>
      <c r="B92">
        <v>114</v>
      </c>
      <c r="C92" s="11">
        <v>46162.531924537034</v>
      </c>
      <c r="D92" s="12" t="s">
        <v>125</v>
      </c>
      <c r="E92" s="12" t="s">
        <v>220</v>
      </c>
      <c r="G92" s="12" t="s">
        <v>243</v>
      </c>
      <c r="H92" s="12" t="s">
        <v>90</v>
      </c>
      <c r="I92" s="12" t="s">
        <v>243</v>
      </c>
      <c r="J92">
        <v>2</v>
      </c>
      <c r="K92" s="13"/>
    </row>
    <row r="93" spans="1:11" x14ac:dyDescent="0.3">
      <c r="A93" s="7">
        <v>46364162</v>
      </c>
      <c r="B93">
        <v>115</v>
      </c>
      <c r="C93" s="11">
        <v>46162.531924537034</v>
      </c>
      <c r="D93" s="12" t="s">
        <v>144</v>
      </c>
      <c r="E93" s="12" t="s">
        <v>221</v>
      </c>
      <c r="G93" s="12" t="s">
        <v>243</v>
      </c>
      <c r="H93" s="12" t="s">
        <v>90</v>
      </c>
      <c r="I93" s="12" t="s">
        <v>243</v>
      </c>
      <c r="J93">
        <v>2</v>
      </c>
      <c r="K93" s="13"/>
    </row>
    <row r="94" spans="1:11" x14ac:dyDescent="0.3">
      <c r="A94" s="7">
        <v>47698784</v>
      </c>
      <c r="B94">
        <v>116</v>
      </c>
      <c r="C94" s="11">
        <v>46162.531924537034</v>
      </c>
      <c r="D94" s="12" t="s">
        <v>163</v>
      </c>
      <c r="E94" s="12" t="s">
        <v>222</v>
      </c>
      <c r="G94" s="12" t="s">
        <v>243</v>
      </c>
      <c r="H94" s="12" t="s">
        <v>90</v>
      </c>
      <c r="I94" s="12" t="s">
        <v>243</v>
      </c>
      <c r="J94">
        <v>2</v>
      </c>
      <c r="K94" s="13"/>
    </row>
    <row r="95" spans="1:11" x14ac:dyDescent="0.3">
      <c r="A95" s="7">
        <v>45689407</v>
      </c>
      <c r="B95">
        <v>117</v>
      </c>
      <c r="C95" s="11">
        <v>46162.531924537034</v>
      </c>
      <c r="D95" s="12" t="s">
        <v>224</v>
      </c>
      <c r="E95" s="12" t="s">
        <v>223</v>
      </c>
      <c r="G95" s="12" t="s">
        <v>243</v>
      </c>
      <c r="H95" s="12" t="s">
        <v>90</v>
      </c>
      <c r="I95" s="12" t="s">
        <v>243</v>
      </c>
      <c r="J95">
        <v>2</v>
      </c>
      <c r="K95" s="13"/>
    </row>
    <row r="96" spans="1:11" x14ac:dyDescent="0.3">
      <c r="A96" s="7">
        <v>45327182</v>
      </c>
      <c r="B96">
        <v>118</v>
      </c>
      <c r="C96" s="11">
        <v>46162.531924537034</v>
      </c>
      <c r="D96" s="12" t="s">
        <v>226</v>
      </c>
      <c r="E96" s="12" t="s">
        <v>225</v>
      </c>
      <c r="G96" s="12" t="s">
        <v>243</v>
      </c>
      <c r="H96" s="12" t="s">
        <v>90</v>
      </c>
      <c r="I96" s="12" t="s">
        <v>243</v>
      </c>
      <c r="J96">
        <v>2</v>
      </c>
      <c r="K96" s="13"/>
    </row>
    <row r="97" spans="1:11" x14ac:dyDescent="0.3">
      <c r="A97" s="7">
        <v>31606072</v>
      </c>
      <c r="B97">
        <v>119</v>
      </c>
      <c r="C97" s="11">
        <v>46162.531924537034</v>
      </c>
      <c r="D97" s="12" t="s">
        <v>228</v>
      </c>
      <c r="E97" s="12" t="s">
        <v>227</v>
      </c>
      <c r="G97" s="12" t="s">
        <v>243</v>
      </c>
      <c r="H97" s="12" t="s">
        <v>90</v>
      </c>
      <c r="I97" s="12" t="s">
        <v>243</v>
      </c>
      <c r="J97">
        <v>2</v>
      </c>
      <c r="K97" s="13"/>
    </row>
    <row r="98" spans="1:11" x14ac:dyDescent="0.3">
      <c r="A98" s="7">
        <v>36846181</v>
      </c>
      <c r="B98">
        <v>120</v>
      </c>
      <c r="C98" s="11">
        <v>46162.531924537034</v>
      </c>
      <c r="D98" s="12" t="s">
        <v>230</v>
      </c>
      <c r="E98" s="12" t="s">
        <v>229</v>
      </c>
      <c r="G98" s="12" t="s">
        <v>243</v>
      </c>
      <c r="H98" s="12" t="s">
        <v>90</v>
      </c>
      <c r="I98" s="12" t="s">
        <v>243</v>
      </c>
      <c r="J98">
        <v>2</v>
      </c>
      <c r="K98" s="13"/>
    </row>
    <row r="99" spans="1:11" x14ac:dyDescent="0.3">
      <c r="A99" s="7">
        <v>39390051</v>
      </c>
      <c r="B99">
        <v>121</v>
      </c>
      <c r="C99" s="11">
        <v>46162.531924537034</v>
      </c>
      <c r="D99" s="12" t="s">
        <v>105</v>
      </c>
      <c r="E99" s="12" t="s">
        <v>231</v>
      </c>
      <c r="G99" s="12" t="s">
        <v>243</v>
      </c>
      <c r="H99" s="12" t="s">
        <v>90</v>
      </c>
      <c r="I99" s="12" t="s">
        <v>243</v>
      </c>
      <c r="J99">
        <v>2</v>
      </c>
      <c r="K99" s="13"/>
    </row>
    <row r="100" spans="1:11" x14ac:dyDescent="0.3">
      <c r="A100" s="7">
        <v>44727265</v>
      </c>
      <c r="B100">
        <v>122</v>
      </c>
      <c r="C100" s="11">
        <v>46162.531924537034</v>
      </c>
      <c r="D100" s="12" t="s">
        <v>233</v>
      </c>
      <c r="E100" s="12" t="s">
        <v>232</v>
      </c>
      <c r="G100" s="12" t="s">
        <v>243</v>
      </c>
      <c r="H100" s="12" t="s">
        <v>90</v>
      </c>
      <c r="I100" s="12" t="s">
        <v>243</v>
      </c>
      <c r="J100">
        <v>2</v>
      </c>
      <c r="K100" s="13"/>
    </row>
    <row r="101" spans="1:11" x14ac:dyDescent="0.3">
      <c r="A101" s="7">
        <v>44208005</v>
      </c>
      <c r="B101">
        <v>123</v>
      </c>
      <c r="C101" s="11">
        <v>46162.531924537034</v>
      </c>
      <c r="D101" s="12" t="s">
        <v>235</v>
      </c>
      <c r="E101" s="12" t="s">
        <v>234</v>
      </c>
      <c r="G101" s="12" t="s">
        <v>243</v>
      </c>
      <c r="H101" s="12" t="s">
        <v>90</v>
      </c>
      <c r="I101" s="12" t="s">
        <v>243</v>
      </c>
      <c r="J101">
        <v>2</v>
      </c>
      <c r="K101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D94B-16B5-4A25-9D14-C2AA08B15952}">
  <dimension ref="A1:I83"/>
  <sheetViews>
    <sheetView workbookViewId="0">
      <selection activeCell="F1" activeCellId="1" sqref="C1:C1048576 F1:F1048576"/>
    </sheetView>
  </sheetViews>
  <sheetFormatPr baseColWidth="10" defaultRowHeight="14.4" x14ac:dyDescent="0.3"/>
  <cols>
    <col min="1" max="2" width="11.5546875" style="9"/>
    <col min="3" max="3" width="11.5546875" style="14"/>
    <col min="4" max="16384" width="11.5546875" style="9"/>
  </cols>
  <sheetData>
    <row r="1" spans="1:9" x14ac:dyDescent="0.3">
      <c r="A1" s="9" t="s">
        <v>92</v>
      </c>
      <c r="B1" s="9" t="s">
        <v>93</v>
      </c>
      <c r="C1" s="14" t="s">
        <v>96</v>
      </c>
      <c r="D1" s="9" t="s">
        <v>97</v>
      </c>
      <c r="E1" s="9" t="s">
        <v>91</v>
      </c>
      <c r="H1" s="9" t="s">
        <v>244</v>
      </c>
      <c r="I1" s="9" t="s">
        <v>245</v>
      </c>
    </row>
    <row r="2" spans="1:9" x14ac:dyDescent="0.3">
      <c r="A2" s="10" t="s">
        <v>98</v>
      </c>
      <c r="B2" s="10" t="s">
        <v>99</v>
      </c>
      <c r="C2" s="16">
        <v>35270492</v>
      </c>
      <c r="D2" s="9" t="s">
        <v>90</v>
      </c>
      <c r="E2" s="9">
        <v>2</v>
      </c>
      <c r="F2" s="16" t="s">
        <v>254</v>
      </c>
      <c r="H2" s="9">
        <v>7</v>
      </c>
      <c r="I2" s="9">
        <f>+VLOOKUP(C2,persona_rows!A:B,2,FALSE)</f>
        <v>46</v>
      </c>
    </row>
    <row r="3" spans="1:9" x14ac:dyDescent="0.3">
      <c r="A3" s="10" t="s">
        <v>100</v>
      </c>
      <c r="B3" s="10" t="s">
        <v>101</v>
      </c>
      <c r="C3" s="16">
        <v>46908023</v>
      </c>
      <c r="D3" s="9" t="s">
        <v>90</v>
      </c>
      <c r="E3" s="9">
        <v>2</v>
      </c>
      <c r="F3" s="16" t="s">
        <v>255</v>
      </c>
      <c r="H3" s="9">
        <v>7</v>
      </c>
      <c r="I3" s="9">
        <f>+VLOOKUP(C3,persona_rows!A:B,2,FALSE)</f>
        <v>47</v>
      </c>
    </row>
    <row r="4" spans="1:9" ht="28.8" x14ac:dyDescent="0.3">
      <c r="A4" s="10" t="s">
        <v>102</v>
      </c>
      <c r="B4" s="10" t="s">
        <v>103</v>
      </c>
      <c r="C4" s="16">
        <v>32674341</v>
      </c>
      <c r="D4" s="9" t="s">
        <v>90</v>
      </c>
      <c r="E4" s="9">
        <v>2</v>
      </c>
      <c r="F4" s="16" t="s">
        <v>256</v>
      </c>
      <c r="H4" s="9">
        <v>7</v>
      </c>
      <c r="I4" s="9">
        <f>+VLOOKUP(C4,persona_rows!A:B,2,FALSE)</f>
        <v>48</v>
      </c>
    </row>
    <row r="5" spans="1:9" ht="28.8" x14ac:dyDescent="0.3">
      <c r="A5" s="10" t="s">
        <v>104</v>
      </c>
      <c r="B5" s="10" t="s">
        <v>105</v>
      </c>
      <c r="C5" s="16">
        <v>46915289</v>
      </c>
      <c r="D5" s="9" t="s">
        <v>90</v>
      </c>
      <c r="E5" s="9">
        <v>2</v>
      </c>
      <c r="F5" s="16" t="s">
        <v>254</v>
      </c>
      <c r="H5" s="9">
        <v>7</v>
      </c>
      <c r="I5" s="9">
        <f>+VLOOKUP(C5,persona_rows!A:B,2,FALSE)</f>
        <v>49</v>
      </c>
    </row>
    <row r="6" spans="1:9" ht="28.8" x14ac:dyDescent="0.3">
      <c r="A6" s="10" t="s">
        <v>106</v>
      </c>
      <c r="B6" s="10" t="s">
        <v>107</v>
      </c>
      <c r="C6" s="16">
        <v>43720513</v>
      </c>
      <c r="D6" s="9" t="s">
        <v>90</v>
      </c>
      <c r="E6" s="9">
        <v>2</v>
      </c>
      <c r="F6" s="16" t="s">
        <v>254</v>
      </c>
      <c r="H6" s="9">
        <v>7</v>
      </c>
      <c r="I6" s="9">
        <f>+VLOOKUP(C6,persona_rows!A:B,2,FALSE)</f>
        <v>50</v>
      </c>
    </row>
    <row r="7" spans="1:9" x14ac:dyDescent="0.3">
      <c r="A7" s="10" t="s">
        <v>108</v>
      </c>
      <c r="B7" s="10" t="s">
        <v>109</v>
      </c>
      <c r="C7" s="16">
        <v>45235320</v>
      </c>
      <c r="D7" s="9" t="s">
        <v>90</v>
      </c>
      <c r="E7" s="9">
        <v>2</v>
      </c>
      <c r="F7" s="16" t="s">
        <v>257</v>
      </c>
      <c r="H7" s="9">
        <v>7</v>
      </c>
      <c r="I7" s="9">
        <f>+VLOOKUP(C7,persona_rows!A:B,2,FALSE)</f>
        <v>51</v>
      </c>
    </row>
    <row r="8" spans="1:9" x14ac:dyDescent="0.3">
      <c r="A8" s="10" t="s">
        <v>110</v>
      </c>
      <c r="B8" s="10" t="s">
        <v>111</v>
      </c>
      <c r="C8" s="15" t="s">
        <v>243</v>
      </c>
      <c r="D8" s="9" t="s">
        <v>90</v>
      </c>
      <c r="E8" s="9">
        <v>2</v>
      </c>
      <c r="F8" s="16" t="s">
        <v>258</v>
      </c>
      <c r="H8" s="9">
        <v>7</v>
      </c>
    </row>
    <row r="9" spans="1:9" x14ac:dyDescent="0.3">
      <c r="A9" s="10" t="s">
        <v>112</v>
      </c>
      <c r="B9" s="10" t="s">
        <v>113</v>
      </c>
      <c r="C9" s="16">
        <v>47344151</v>
      </c>
      <c r="D9" s="9" t="s">
        <v>90</v>
      </c>
      <c r="E9" s="9">
        <v>2</v>
      </c>
      <c r="F9" s="16" t="s">
        <v>259</v>
      </c>
      <c r="H9" s="9">
        <v>7</v>
      </c>
      <c r="I9" s="9">
        <f>+VLOOKUP(C9,persona_rows!A:B,2,FALSE)</f>
        <v>53</v>
      </c>
    </row>
    <row r="10" spans="1:9" x14ac:dyDescent="0.3">
      <c r="A10" s="10" t="s">
        <v>114</v>
      </c>
      <c r="B10" s="10" t="s">
        <v>115</v>
      </c>
      <c r="C10" s="16">
        <v>47295732</v>
      </c>
      <c r="D10" s="9" t="s">
        <v>90</v>
      </c>
      <c r="E10" s="9">
        <v>2</v>
      </c>
      <c r="F10" s="16" t="s">
        <v>256</v>
      </c>
      <c r="H10" s="9">
        <v>7</v>
      </c>
      <c r="I10" s="9">
        <f>+VLOOKUP(C10,persona_rows!A:B,2,FALSE)</f>
        <v>54</v>
      </c>
    </row>
    <row r="11" spans="1:9" ht="28.8" x14ac:dyDescent="0.3">
      <c r="A11" s="10" t="s">
        <v>116</v>
      </c>
      <c r="B11" s="10" t="s">
        <v>117</v>
      </c>
      <c r="C11" s="16">
        <v>37611683</v>
      </c>
      <c r="D11" s="9" t="s">
        <v>90</v>
      </c>
      <c r="E11" s="9">
        <v>2</v>
      </c>
      <c r="F11" s="16" t="s">
        <v>258</v>
      </c>
      <c r="H11" s="9">
        <v>7</v>
      </c>
      <c r="I11" s="9">
        <f>+VLOOKUP(C11,persona_rows!A:B,2,FALSE)</f>
        <v>55</v>
      </c>
    </row>
    <row r="12" spans="1:9" x14ac:dyDescent="0.3">
      <c r="A12" s="10" t="s">
        <v>118</v>
      </c>
      <c r="B12" s="10" t="s">
        <v>119</v>
      </c>
      <c r="C12" s="16">
        <v>45926851</v>
      </c>
      <c r="D12" s="9" t="s">
        <v>90</v>
      </c>
      <c r="E12" s="9">
        <v>2</v>
      </c>
      <c r="F12" s="16" t="s">
        <v>255</v>
      </c>
      <c r="H12" s="9">
        <v>7</v>
      </c>
      <c r="I12" s="9">
        <f>+VLOOKUP(C12,persona_rows!A:B,2,FALSE)</f>
        <v>56</v>
      </c>
    </row>
    <row r="13" spans="1:9" x14ac:dyDescent="0.3">
      <c r="A13" s="10" t="s">
        <v>120</v>
      </c>
      <c r="B13" s="10" t="s">
        <v>121</v>
      </c>
      <c r="C13" s="16">
        <v>44484100</v>
      </c>
      <c r="D13" s="9" t="s">
        <v>90</v>
      </c>
      <c r="E13" s="9">
        <v>2</v>
      </c>
      <c r="F13" s="16" t="s">
        <v>257</v>
      </c>
      <c r="H13" s="9">
        <v>7</v>
      </c>
      <c r="I13" s="9">
        <f>+VLOOKUP(C13,persona_rows!A:B,2,FALSE)</f>
        <v>57</v>
      </c>
    </row>
    <row r="14" spans="1:9" x14ac:dyDescent="0.3">
      <c r="A14" s="10" t="s">
        <v>122</v>
      </c>
      <c r="B14" s="10" t="s">
        <v>123</v>
      </c>
      <c r="C14" s="16">
        <v>47029831</v>
      </c>
      <c r="D14" s="9" t="s">
        <v>90</v>
      </c>
      <c r="E14" s="9">
        <v>2</v>
      </c>
      <c r="F14" s="16" t="s">
        <v>256</v>
      </c>
      <c r="H14" s="9">
        <v>7</v>
      </c>
      <c r="I14" s="9">
        <f>+VLOOKUP(C14,persona_rows!A:B,2,FALSE)</f>
        <v>58</v>
      </c>
    </row>
    <row r="15" spans="1:9" ht="28.8" x14ac:dyDescent="0.3">
      <c r="A15" s="10" t="s">
        <v>124</v>
      </c>
      <c r="B15" s="10" t="s">
        <v>125</v>
      </c>
      <c r="C15" s="16">
        <v>45822370</v>
      </c>
      <c r="D15" s="9" t="s">
        <v>90</v>
      </c>
      <c r="E15" s="9">
        <v>2</v>
      </c>
      <c r="F15" s="16" t="s">
        <v>257</v>
      </c>
      <c r="H15" s="9">
        <v>7</v>
      </c>
      <c r="I15" s="9">
        <f>+VLOOKUP(C15,persona_rows!A:B,2,FALSE)</f>
        <v>59</v>
      </c>
    </row>
    <row r="16" spans="1:9" ht="28.8" x14ac:dyDescent="0.3">
      <c r="A16" s="10" t="s">
        <v>126</v>
      </c>
      <c r="B16" s="10" t="s">
        <v>127</v>
      </c>
      <c r="C16" s="16">
        <v>44158542</v>
      </c>
      <c r="D16" s="9" t="s">
        <v>90</v>
      </c>
      <c r="E16" s="9">
        <v>2</v>
      </c>
      <c r="F16" s="16" t="s">
        <v>253</v>
      </c>
      <c r="H16" s="9">
        <v>7</v>
      </c>
      <c r="I16" s="9">
        <f>+VLOOKUP(C16,persona_rows!A:B,2,FALSE)</f>
        <v>60</v>
      </c>
    </row>
    <row r="17" spans="1:9" ht="28.8" x14ac:dyDescent="0.3">
      <c r="A17" s="10" t="s">
        <v>128</v>
      </c>
      <c r="B17" s="10" t="s">
        <v>129</v>
      </c>
      <c r="C17" s="16">
        <v>41496855</v>
      </c>
      <c r="D17" s="9" t="s">
        <v>90</v>
      </c>
      <c r="E17" s="9">
        <v>2</v>
      </c>
      <c r="F17" s="16" t="s">
        <v>253</v>
      </c>
      <c r="H17" s="9">
        <v>7</v>
      </c>
      <c r="I17" s="9">
        <f>+VLOOKUP(C17,persona_rows!A:B,2,FALSE)</f>
        <v>61</v>
      </c>
    </row>
    <row r="18" spans="1:9" x14ac:dyDescent="0.3">
      <c r="A18" s="10" t="s">
        <v>130</v>
      </c>
      <c r="B18" s="10" t="s">
        <v>131</v>
      </c>
      <c r="C18" s="16">
        <v>45571521</v>
      </c>
      <c r="D18" s="9" t="s">
        <v>90</v>
      </c>
      <c r="E18" s="9">
        <v>2</v>
      </c>
      <c r="H18" s="9">
        <v>7</v>
      </c>
      <c r="I18" s="9">
        <f>+VLOOKUP(C18,persona_rows!A:B,2,FALSE)</f>
        <v>62</v>
      </c>
    </row>
    <row r="19" spans="1:9" x14ac:dyDescent="0.3">
      <c r="A19" s="10" t="s">
        <v>132</v>
      </c>
      <c r="B19" s="10" t="s">
        <v>119</v>
      </c>
      <c r="C19" s="16">
        <v>43870592</v>
      </c>
      <c r="D19" s="9" t="s">
        <v>90</v>
      </c>
      <c r="E19" s="9">
        <v>2</v>
      </c>
      <c r="F19" s="16" t="s">
        <v>260</v>
      </c>
      <c r="H19" s="9">
        <v>7</v>
      </c>
      <c r="I19" s="9">
        <f>+VLOOKUP(C19,persona_rows!A:B,2,FALSE)</f>
        <v>63</v>
      </c>
    </row>
    <row r="20" spans="1:9" x14ac:dyDescent="0.3">
      <c r="A20" s="10" t="s">
        <v>133</v>
      </c>
      <c r="B20" s="10" t="s">
        <v>134</v>
      </c>
      <c r="C20" s="16">
        <v>39657307</v>
      </c>
      <c r="D20" s="9" t="s">
        <v>90</v>
      </c>
      <c r="E20" s="9">
        <v>2</v>
      </c>
      <c r="F20" s="16" t="s">
        <v>255</v>
      </c>
      <c r="H20" s="9">
        <v>7</v>
      </c>
      <c r="I20" s="9">
        <f>+VLOOKUP(C20,persona_rows!A:B,2,FALSE)</f>
        <v>64</v>
      </c>
    </row>
    <row r="21" spans="1:9" x14ac:dyDescent="0.3">
      <c r="A21" s="10" t="s">
        <v>135</v>
      </c>
      <c r="B21" s="10" t="s">
        <v>136</v>
      </c>
      <c r="C21" s="16">
        <v>46209547</v>
      </c>
      <c r="D21" s="9" t="s">
        <v>90</v>
      </c>
      <c r="E21" s="9">
        <v>2</v>
      </c>
      <c r="F21" s="16" t="s">
        <v>257</v>
      </c>
      <c r="H21" s="9">
        <v>7</v>
      </c>
      <c r="I21" s="9">
        <f>+VLOOKUP(C21,persona_rows!A:B,2,FALSE)</f>
        <v>65</v>
      </c>
    </row>
    <row r="22" spans="1:9" x14ac:dyDescent="0.3">
      <c r="A22" s="10" t="s">
        <v>137</v>
      </c>
      <c r="B22" s="10" t="s">
        <v>138</v>
      </c>
      <c r="C22" s="16">
        <v>26046885</v>
      </c>
      <c r="D22" s="9" t="s">
        <v>90</v>
      </c>
      <c r="E22" s="9">
        <v>2</v>
      </c>
      <c r="F22" s="16" t="s">
        <v>261</v>
      </c>
      <c r="H22" s="9">
        <v>7</v>
      </c>
      <c r="I22" s="9">
        <f>+VLOOKUP(C22,persona_rows!A:B,2,FALSE)</f>
        <v>66</v>
      </c>
    </row>
    <row r="23" spans="1:9" x14ac:dyDescent="0.3">
      <c r="A23" s="10" t="s">
        <v>139</v>
      </c>
      <c r="B23" s="10" t="s">
        <v>140</v>
      </c>
      <c r="C23" s="16">
        <v>46211875</v>
      </c>
      <c r="D23" s="9" t="s">
        <v>90</v>
      </c>
      <c r="E23" s="9">
        <v>2</v>
      </c>
      <c r="F23" s="16" t="s">
        <v>257</v>
      </c>
      <c r="H23" s="9">
        <v>7</v>
      </c>
      <c r="I23" s="9">
        <f>+VLOOKUP(C23,persona_rows!A:B,2,FALSE)</f>
        <v>67</v>
      </c>
    </row>
    <row r="24" spans="1:9" x14ac:dyDescent="0.3">
      <c r="A24" s="10" t="s">
        <v>141</v>
      </c>
      <c r="B24" s="10" t="s">
        <v>142</v>
      </c>
      <c r="C24" s="16">
        <v>42340901</v>
      </c>
      <c r="D24" s="9" t="s">
        <v>90</v>
      </c>
      <c r="E24" s="9">
        <v>2</v>
      </c>
      <c r="F24" s="16" t="s">
        <v>262</v>
      </c>
      <c r="H24" s="9">
        <v>7</v>
      </c>
      <c r="I24" s="9">
        <f>+VLOOKUP(C24,persona_rows!A:B,2,FALSE)</f>
        <v>68</v>
      </c>
    </row>
    <row r="25" spans="1:9" x14ac:dyDescent="0.3">
      <c r="A25" s="10" t="s">
        <v>143</v>
      </c>
      <c r="B25" s="10" t="s">
        <v>144</v>
      </c>
      <c r="C25" s="16">
        <v>36359940</v>
      </c>
      <c r="D25" s="9" t="s">
        <v>90</v>
      </c>
      <c r="E25" s="9">
        <v>2</v>
      </c>
      <c r="F25" s="16" t="s">
        <v>257</v>
      </c>
      <c r="H25" s="9">
        <v>7</v>
      </c>
      <c r="I25" s="9">
        <f>+VLOOKUP(C25,persona_rows!A:B,2,FALSE)</f>
        <v>69</v>
      </c>
    </row>
    <row r="26" spans="1:9" ht="28.8" x14ac:dyDescent="0.3">
      <c r="A26" s="10" t="s">
        <v>145</v>
      </c>
      <c r="B26" s="10" t="s">
        <v>146</v>
      </c>
      <c r="C26" s="16">
        <v>38455371</v>
      </c>
      <c r="D26" s="9" t="s">
        <v>90</v>
      </c>
      <c r="E26" s="9">
        <v>2</v>
      </c>
      <c r="F26" s="16" t="s">
        <v>254</v>
      </c>
      <c r="H26" s="9">
        <v>7</v>
      </c>
      <c r="I26" s="9">
        <f>+VLOOKUP(C26,persona_rows!A:B,2,FALSE)</f>
        <v>70</v>
      </c>
    </row>
    <row r="27" spans="1:9" x14ac:dyDescent="0.3">
      <c r="A27" s="10" t="s">
        <v>147</v>
      </c>
      <c r="B27" s="10" t="s">
        <v>148</v>
      </c>
      <c r="C27" s="16">
        <v>35973835</v>
      </c>
      <c r="D27" s="9" t="s">
        <v>90</v>
      </c>
      <c r="E27" s="9">
        <v>2</v>
      </c>
      <c r="F27" s="16" t="s">
        <v>259</v>
      </c>
      <c r="H27" s="9">
        <v>7</v>
      </c>
      <c r="I27" s="9">
        <f>+VLOOKUP(C27,persona_rows!A:B,2,FALSE)</f>
        <v>71</v>
      </c>
    </row>
    <row r="28" spans="1:9" x14ac:dyDescent="0.3">
      <c r="A28" s="10" t="s">
        <v>149</v>
      </c>
      <c r="B28" s="10" t="s">
        <v>150</v>
      </c>
      <c r="C28" s="16">
        <v>35960229</v>
      </c>
      <c r="D28" s="9" t="s">
        <v>90</v>
      </c>
      <c r="E28" s="9">
        <v>2</v>
      </c>
      <c r="H28" s="9">
        <v>7</v>
      </c>
      <c r="I28" s="9">
        <f>+VLOOKUP(C28,persona_rows!A:B,2,FALSE)</f>
        <v>72</v>
      </c>
    </row>
    <row r="29" spans="1:9" ht="28.8" x14ac:dyDescent="0.3">
      <c r="A29" s="10" t="s">
        <v>151</v>
      </c>
      <c r="B29" s="10" t="s">
        <v>152</v>
      </c>
      <c r="C29" s="16">
        <v>46210569</v>
      </c>
      <c r="D29" s="9" t="s">
        <v>90</v>
      </c>
      <c r="E29" s="9">
        <v>2</v>
      </c>
      <c r="F29" s="16" t="s">
        <v>255</v>
      </c>
      <c r="H29" s="9">
        <v>7</v>
      </c>
      <c r="I29" s="9">
        <f>+VLOOKUP(C29,persona_rows!A:B,2,FALSE)</f>
        <v>73</v>
      </c>
    </row>
    <row r="30" spans="1:9" x14ac:dyDescent="0.3">
      <c r="A30" s="10" t="s">
        <v>153</v>
      </c>
      <c r="B30" s="10" t="s">
        <v>154</v>
      </c>
      <c r="C30" s="16">
        <v>38710028</v>
      </c>
      <c r="D30" s="9" t="s">
        <v>90</v>
      </c>
      <c r="E30" s="9">
        <v>2</v>
      </c>
      <c r="F30" s="16" t="s">
        <v>261</v>
      </c>
      <c r="H30" s="9">
        <v>7</v>
      </c>
      <c r="I30" s="9">
        <f>+VLOOKUP(C30,persona_rows!A:B,2,FALSE)</f>
        <v>74</v>
      </c>
    </row>
    <row r="31" spans="1:9" x14ac:dyDescent="0.3">
      <c r="A31" s="10" t="s">
        <v>155</v>
      </c>
      <c r="B31" s="10" t="s">
        <v>156</v>
      </c>
      <c r="C31" s="16">
        <v>35793403</v>
      </c>
      <c r="D31" s="9" t="s">
        <v>90</v>
      </c>
      <c r="E31" s="9">
        <v>2</v>
      </c>
      <c r="F31" s="16" t="s">
        <v>256</v>
      </c>
      <c r="H31" s="9">
        <v>7</v>
      </c>
      <c r="I31" s="9">
        <f>+VLOOKUP(C31,persona_rows!A:B,2,FALSE)</f>
        <v>75</v>
      </c>
    </row>
    <row r="32" spans="1:9" x14ac:dyDescent="0.3">
      <c r="A32" s="10" t="s">
        <v>157</v>
      </c>
      <c r="B32" s="10" t="s">
        <v>158</v>
      </c>
      <c r="C32" s="16">
        <v>46213466</v>
      </c>
      <c r="D32" s="9" t="s">
        <v>90</v>
      </c>
      <c r="E32" s="9">
        <v>2</v>
      </c>
      <c r="F32" s="16" t="s">
        <v>253</v>
      </c>
      <c r="H32" s="9">
        <v>7</v>
      </c>
      <c r="I32" s="9">
        <f>+VLOOKUP(C32,persona_rows!A:B,2,FALSE)</f>
        <v>76</v>
      </c>
    </row>
    <row r="33" spans="1:9" x14ac:dyDescent="0.3">
      <c r="A33" s="10" t="s">
        <v>159</v>
      </c>
      <c r="B33" s="10" t="s">
        <v>160</v>
      </c>
      <c r="C33" s="16">
        <v>47170638</v>
      </c>
      <c r="D33" s="9" t="s">
        <v>90</v>
      </c>
      <c r="E33" s="9">
        <v>2</v>
      </c>
      <c r="F33" s="16" t="s">
        <v>253</v>
      </c>
      <c r="H33" s="9">
        <v>7</v>
      </c>
      <c r="I33" s="9">
        <f>+VLOOKUP(C33,persona_rows!A:B,2,FALSE)</f>
        <v>77</v>
      </c>
    </row>
    <row r="34" spans="1:9" x14ac:dyDescent="0.3">
      <c r="A34" s="10" t="s">
        <v>161</v>
      </c>
      <c r="B34" s="10" t="s">
        <v>131</v>
      </c>
      <c r="C34" s="16">
        <v>44729576</v>
      </c>
      <c r="D34" s="9" t="s">
        <v>90</v>
      </c>
      <c r="E34" s="9">
        <v>2</v>
      </c>
      <c r="F34" s="16" t="s">
        <v>253</v>
      </c>
      <c r="H34" s="9">
        <v>7</v>
      </c>
      <c r="I34" s="9">
        <f>+VLOOKUP(C34,persona_rows!A:B,2,FALSE)</f>
        <v>78</v>
      </c>
    </row>
    <row r="35" spans="1:9" x14ac:dyDescent="0.3">
      <c r="A35" s="10" t="s">
        <v>162</v>
      </c>
      <c r="B35" s="10" t="s">
        <v>163</v>
      </c>
      <c r="C35" s="16">
        <v>42821910</v>
      </c>
      <c r="D35" s="9" t="s">
        <v>90</v>
      </c>
      <c r="E35" s="9">
        <v>2</v>
      </c>
      <c r="F35" s="16" t="s">
        <v>256</v>
      </c>
      <c r="H35" s="9">
        <v>7</v>
      </c>
      <c r="I35" s="9">
        <f>+VLOOKUP(C35,persona_rows!A:B,2,FALSE)</f>
        <v>79</v>
      </c>
    </row>
    <row r="36" spans="1:9" x14ac:dyDescent="0.3">
      <c r="A36" s="10" t="s">
        <v>162</v>
      </c>
      <c r="B36" s="10" t="s">
        <v>164</v>
      </c>
      <c r="C36" s="16">
        <v>45686803</v>
      </c>
      <c r="D36" s="9" t="s">
        <v>90</v>
      </c>
      <c r="E36" s="9">
        <v>2</v>
      </c>
      <c r="F36" s="16" t="s">
        <v>255</v>
      </c>
      <c r="H36" s="9">
        <v>7</v>
      </c>
      <c r="I36" s="9">
        <f>+VLOOKUP(C36,persona_rows!A:B,2,FALSE)</f>
        <v>80</v>
      </c>
    </row>
    <row r="37" spans="1:9" x14ac:dyDescent="0.3">
      <c r="A37" s="10" t="s">
        <v>165</v>
      </c>
      <c r="B37" s="10" t="s">
        <v>115</v>
      </c>
      <c r="C37" s="16">
        <v>42013957</v>
      </c>
      <c r="D37" s="9" t="s">
        <v>90</v>
      </c>
      <c r="E37" s="9">
        <v>2</v>
      </c>
      <c r="F37" s="16" t="s">
        <v>259</v>
      </c>
      <c r="H37" s="9">
        <v>7</v>
      </c>
      <c r="I37" s="9">
        <f>+VLOOKUP(C37,persona_rows!A:B,2,FALSE)</f>
        <v>81</v>
      </c>
    </row>
    <row r="38" spans="1:9" x14ac:dyDescent="0.3">
      <c r="A38" s="10" t="s">
        <v>166</v>
      </c>
      <c r="B38" s="10" t="s">
        <v>163</v>
      </c>
      <c r="C38" s="16">
        <v>43010600</v>
      </c>
      <c r="D38" s="9" t="s">
        <v>90</v>
      </c>
      <c r="E38" s="9">
        <v>2</v>
      </c>
      <c r="F38" s="16" t="s">
        <v>255</v>
      </c>
      <c r="H38" s="9">
        <v>7</v>
      </c>
      <c r="I38" s="9">
        <f>+VLOOKUP(C38,persona_rows!A:B,2,FALSE)</f>
        <v>82</v>
      </c>
    </row>
    <row r="39" spans="1:9" x14ac:dyDescent="0.3">
      <c r="A39" s="10" t="s">
        <v>167</v>
      </c>
      <c r="B39" s="10" t="s">
        <v>168</v>
      </c>
      <c r="C39" s="16">
        <v>45753658</v>
      </c>
      <c r="D39" s="9" t="s">
        <v>90</v>
      </c>
      <c r="E39" s="9">
        <v>2</v>
      </c>
      <c r="F39" s="16" t="s">
        <v>255</v>
      </c>
      <c r="H39" s="9">
        <v>7</v>
      </c>
      <c r="I39" s="9">
        <f>+VLOOKUP(C39,persona_rows!A:B,2,FALSE)</f>
        <v>83</v>
      </c>
    </row>
    <row r="40" spans="1:9" x14ac:dyDescent="0.3">
      <c r="A40" s="10" t="s">
        <v>169</v>
      </c>
      <c r="B40" s="10" t="s">
        <v>170</v>
      </c>
      <c r="C40" s="16">
        <v>47127274</v>
      </c>
      <c r="D40" s="9" t="s">
        <v>90</v>
      </c>
      <c r="E40" s="9">
        <v>2</v>
      </c>
      <c r="F40" s="16" t="s">
        <v>255</v>
      </c>
      <c r="H40" s="9">
        <v>7</v>
      </c>
      <c r="I40" s="9">
        <f>+VLOOKUP(C40,persona_rows!A:B,2,FALSE)</f>
        <v>84</v>
      </c>
    </row>
    <row r="41" spans="1:9" x14ac:dyDescent="0.3">
      <c r="A41" s="10" t="s">
        <v>171</v>
      </c>
      <c r="B41" s="10" t="s">
        <v>152</v>
      </c>
      <c r="C41" s="16">
        <v>45581587</v>
      </c>
      <c r="D41" s="9" t="s">
        <v>90</v>
      </c>
      <c r="E41" s="9">
        <v>2</v>
      </c>
      <c r="F41" s="16" t="s">
        <v>259</v>
      </c>
      <c r="H41" s="9">
        <v>7</v>
      </c>
      <c r="I41" s="9">
        <f>+VLOOKUP(C41,persona_rows!A:B,2,FALSE)</f>
        <v>85</v>
      </c>
    </row>
    <row r="42" spans="1:9" x14ac:dyDescent="0.3">
      <c r="A42" s="10" t="s">
        <v>172</v>
      </c>
      <c r="B42" s="10" t="s">
        <v>173</v>
      </c>
      <c r="C42" s="16">
        <v>47787084</v>
      </c>
      <c r="D42" s="9" t="s">
        <v>90</v>
      </c>
      <c r="E42" s="9">
        <v>2</v>
      </c>
      <c r="F42" s="16" t="s">
        <v>255</v>
      </c>
      <c r="H42" s="9">
        <v>7</v>
      </c>
      <c r="I42" s="9">
        <f>+VLOOKUP(C42,persona_rows!A:B,2,FALSE)</f>
        <v>86</v>
      </c>
    </row>
    <row r="43" spans="1:9" x14ac:dyDescent="0.3">
      <c r="A43" s="10" t="s">
        <v>174</v>
      </c>
      <c r="B43" s="10" t="s">
        <v>175</v>
      </c>
      <c r="C43" s="16">
        <v>37424399</v>
      </c>
      <c r="D43" s="9" t="s">
        <v>90</v>
      </c>
      <c r="E43" s="9">
        <v>2</v>
      </c>
      <c r="F43" s="16" t="s">
        <v>256</v>
      </c>
      <c r="H43" s="9">
        <v>7</v>
      </c>
      <c r="I43" s="9">
        <f>+VLOOKUP(C43,persona_rows!A:B,2,FALSE)</f>
        <v>87</v>
      </c>
    </row>
    <row r="44" spans="1:9" x14ac:dyDescent="0.3">
      <c r="A44" s="10" t="s">
        <v>176</v>
      </c>
      <c r="B44" s="10" t="s">
        <v>177</v>
      </c>
      <c r="C44" s="16">
        <v>41665220</v>
      </c>
      <c r="D44" s="9" t="s">
        <v>90</v>
      </c>
      <c r="E44" s="9">
        <v>2</v>
      </c>
      <c r="F44" s="16" t="s">
        <v>258</v>
      </c>
      <c r="H44" s="9">
        <v>7</v>
      </c>
      <c r="I44" s="9">
        <f>+VLOOKUP(C44,persona_rows!A:B,2,FALSE)</f>
        <v>88</v>
      </c>
    </row>
    <row r="45" spans="1:9" ht="28.8" x14ac:dyDescent="0.3">
      <c r="A45" s="10" t="s">
        <v>178</v>
      </c>
      <c r="B45" s="10" t="s">
        <v>179</v>
      </c>
      <c r="C45" s="16">
        <v>41394671</v>
      </c>
      <c r="D45" s="9" t="s">
        <v>90</v>
      </c>
      <c r="E45" s="9">
        <v>2</v>
      </c>
      <c r="F45" s="16" t="s">
        <v>253</v>
      </c>
      <c r="H45" s="9">
        <v>7</v>
      </c>
      <c r="I45" s="9">
        <f>+VLOOKUP(C45,persona_rows!A:B,2,FALSE)</f>
        <v>89</v>
      </c>
    </row>
    <row r="46" spans="1:9" ht="28.8" x14ac:dyDescent="0.3">
      <c r="A46" s="10" t="s">
        <v>178</v>
      </c>
      <c r="B46" s="10" t="s">
        <v>180</v>
      </c>
      <c r="C46" s="16">
        <v>44158148</v>
      </c>
      <c r="D46" s="9" t="s">
        <v>90</v>
      </c>
      <c r="E46" s="9">
        <v>2</v>
      </c>
      <c r="F46" s="16" t="s">
        <v>255</v>
      </c>
      <c r="H46" s="9">
        <v>7</v>
      </c>
      <c r="I46" s="9">
        <f>+VLOOKUP(C46,persona_rows!A:B,2,FALSE)</f>
        <v>90</v>
      </c>
    </row>
    <row r="47" spans="1:9" x14ac:dyDescent="0.3">
      <c r="A47" s="10" t="s">
        <v>181</v>
      </c>
      <c r="B47" s="10" t="s">
        <v>182</v>
      </c>
      <c r="C47" s="16">
        <v>38424153</v>
      </c>
      <c r="D47" s="9" t="s">
        <v>90</v>
      </c>
      <c r="E47" s="9">
        <v>2</v>
      </c>
      <c r="F47" s="16" t="s">
        <v>255</v>
      </c>
      <c r="H47" s="9">
        <v>7</v>
      </c>
      <c r="I47" s="9">
        <f>+VLOOKUP(C47,persona_rows!A:B,2,FALSE)</f>
        <v>91</v>
      </c>
    </row>
    <row r="48" spans="1:9" x14ac:dyDescent="0.3">
      <c r="A48" s="10" t="s">
        <v>183</v>
      </c>
      <c r="B48" s="10" t="s">
        <v>184</v>
      </c>
      <c r="C48" s="16">
        <v>45013618</v>
      </c>
      <c r="D48" s="9" t="s">
        <v>90</v>
      </c>
      <c r="E48" s="9">
        <v>2</v>
      </c>
      <c r="F48" s="16" t="s">
        <v>255</v>
      </c>
      <c r="H48" s="9">
        <v>7</v>
      </c>
      <c r="I48" s="9">
        <f>+VLOOKUP(C48,persona_rows!A:B,2,FALSE)</f>
        <v>92</v>
      </c>
    </row>
    <row r="49" spans="1:9" x14ac:dyDescent="0.3">
      <c r="A49" s="10" t="s">
        <v>183</v>
      </c>
      <c r="B49" s="10" t="s">
        <v>185</v>
      </c>
      <c r="C49" s="16">
        <v>47292142</v>
      </c>
      <c r="D49" s="9" t="s">
        <v>90</v>
      </c>
      <c r="E49" s="9">
        <v>2</v>
      </c>
      <c r="F49" s="16" t="s">
        <v>255</v>
      </c>
      <c r="H49" s="9">
        <v>7</v>
      </c>
      <c r="I49" s="9">
        <f>+VLOOKUP(C49,persona_rows!A:B,2,FALSE)</f>
        <v>93</v>
      </c>
    </row>
    <row r="50" spans="1:9" ht="28.8" x14ac:dyDescent="0.3">
      <c r="A50" s="10" t="s">
        <v>186</v>
      </c>
      <c r="B50" s="10" t="s">
        <v>175</v>
      </c>
      <c r="C50" s="16">
        <v>43086645</v>
      </c>
      <c r="D50" s="9" t="s">
        <v>90</v>
      </c>
      <c r="E50" s="9">
        <v>2</v>
      </c>
      <c r="F50" s="16" t="s">
        <v>253</v>
      </c>
      <c r="H50" s="9">
        <v>7</v>
      </c>
      <c r="I50" s="9">
        <f>+VLOOKUP(C50,persona_rows!A:B,2,FALSE)</f>
        <v>94</v>
      </c>
    </row>
    <row r="51" spans="1:9" ht="28.8" x14ac:dyDescent="0.3">
      <c r="A51" s="10" t="s">
        <v>187</v>
      </c>
      <c r="B51" s="10" t="s">
        <v>188</v>
      </c>
      <c r="C51" s="16">
        <v>34890117</v>
      </c>
      <c r="D51" s="9" t="s">
        <v>90</v>
      </c>
      <c r="E51" s="9">
        <v>2</v>
      </c>
      <c r="F51" s="16" t="s">
        <v>257</v>
      </c>
      <c r="H51" s="9">
        <v>7</v>
      </c>
      <c r="I51" s="9">
        <f>+VLOOKUP(C51,persona_rows!A:B,2,FALSE)</f>
        <v>95</v>
      </c>
    </row>
    <row r="52" spans="1:9" x14ac:dyDescent="0.3">
      <c r="A52" s="10" t="s">
        <v>189</v>
      </c>
      <c r="B52" s="10" t="s">
        <v>190</v>
      </c>
      <c r="C52" s="16">
        <v>37143159</v>
      </c>
      <c r="D52" s="9" t="s">
        <v>90</v>
      </c>
      <c r="E52" s="9">
        <v>2</v>
      </c>
      <c r="F52" s="16" t="s">
        <v>263</v>
      </c>
      <c r="H52" s="9">
        <v>7</v>
      </c>
      <c r="I52" s="9">
        <f>+VLOOKUP(C52,persona_rows!A:B,2,FALSE)</f>
        <v>96</v>
      </c>
    </row>
    <row r="53" spans="1:9" x14ac:dyDescent="0.3">
      <c r="A53" s="10" t="s">
        <v>191</v>
      </c>
      <c r="B53" s="10" t="s">
        <v>192</v>
      </c>
      <c r="C53" s="16">
        <v>38707813</v>
      </c>
      <c r="D53" s="9" t="s">
        <v>90</v>
      </c>
      <c r="E53" s="9">
        <v>2</v>
      </c>
      <c r="F53" s="16" t="s">
        <v>263</v>
      </c>
      <c r="H53" s="9">
        <v>7</v>
      </c>
      <c r="I53" s="9">
        <f>+VLOOKUP(C53,persona_rows!A:B,2,FALSE)</f>
        <v>97</v>
      </c>
    </row>
    <row r="54" spans="1:9" ht="28.8" x14ac:dyDescent="0.3">
      <c r="A54" s="10" t="s">
        <v>193</v>
      </c>
      <c r="B54" s="10" t="s">
        <v>194</v>
      </c>
      <c r="C54" s="16">
        <v>42146024</v>
      </c>
      <c r="D54" s="9" t="s">
        <v>90</v>
      </c>
      <c r="E54" s="9">
        <v>2</v>
      </c>
      <c r="F54" s="16" t="s">
        <v>258</v>
      </c>
      <c r="H54" s="9">
        <v>7</v>
      </c>
      <c r="I54" s="9">
        <f>+VLOOKUP(C54,persona_rows!A:B,2,FALSE)</f>
        <v>98</v>
      </c>
    </row>
    <row r="55" spans="1:9" x14ac:dyDescent="0.3">
      <c r="A55" s="10" t="s">
        <v>195</v>
      </c>
      <c r="B55" s="10" t="s">
        <v>196</v>
      </c>
      <c r="C55" s="16">
        <v>44788841</v>
      </c>
      <c r="D55" s="9" t="s">
        <v>90</v>
      </c>
      <c r="E55" s="9">
        <v>2</v>
      </c>
      <c r="F55" s="16" t="s">
        <v>263</v>
      </c>
      <c r="H55" s="9">
        <v>7</v>
      </c>
      <c r="I55" s="9">
        <f>+VLOOKUP(C55,persona_rows!A:B,2,FALSE)</f>
        <v>99</v>
      </c>
    </row>
    <row r="56" spans="1:9" ht="28.8" x14ac:dyDescent="0.3">
      <c r="A56" s="10" t="s">
        <v>197</v>
      </c>
      <c r="B56" s="10" t="s">
        <v>198</v>
      </c>
      <c r="C56" s="16">
        <v>47168882</v>
      </c>
      <c r="D56" s="9" t="s">
        <v>90</v>
      </c>
      <c r="E56" s="9">
        <v>2</v>
      </c>
      <c r="H56" s="9">
        <v>7</v>
      </c>
      <c r="I56" s="9">
        <f>+VLOOKUP(C56,persona_rows!A:B,2,FALSE)</f>
        <v>100</v>
      </c>
    </row>
    <row r="57" spans="1:9" x14ac:dyDescent="0.3">
      <c r="A57" s="10" t="s">
        <v>199</v>
      </c>
      <c r="B57" s="10" t="s">
        <v>152</v>
      </c>
      <c r="C57" s="16">
        <v>39654261</v>
      </c>
      <c r="D57" s="9" t="s">
        <v>90</v>
      </c>
      <c r="E57" s="9">
        <v>2</v>
      </c>
      <c r="F57" s="16" t="s">
        <v>262</v>
      </c>
      <c r="H57" s="9">
        <v>7</v>
      </c>
      <c r="I57" s="9">
        <f>+VLOOKUP(C57,persona_rows!A:B,2,FALSE)</f>
        <v>101</v>
      </c>
    </row>
    <row r="58" spans="1:9" x14ac:dyDescent="0.3">
      <c r="A58" s="10" t="s">
        <v>200</v>
      </c>
      <c r="B58" s="10" t="s">
        <v>201</v>
      </c>
      <c r="C58" s="16">
        <v>42647195</v>
      </c>
      <c r="D58" s="9" t="s">
        <v>90</v>
      </c>
      <c r="E58" s="9">
        <v>2</v>
      </c>
      <c r="F58" s="16" t="s">
        <v>263</v>
      </c>
      <c r="H58" s="9">
        <v>7</v>
      </c>
      <c r="I58" s="9">
        <f>+VLOOKUP(C58,persona_rows!A:B,2,FALSE)</f>
        <v>102</v>
      </c>
    </row>
    <row r="59" spans="1:9" ht="28.8" x14ac:dyDescent="0.3">
      <c r="A59" s="10" t="s">
        <v>202</v>
      </c>
      <c r="B59" s="10" t="s">
        <v>203</v>
      </c>
      <c r="C59" s="16">
        <v>44852158</v>
      </c>
      <c r="D59" s="9" t="s">
        <v>90</v>
      </c>
      <c r="E59" s="9">
        <v>2</v>
      </c>
      <c r="F59" s="16" t="s">
        <v>259</v>
      </c>
      <c r="H59" s="9">
        <v>7</v>
      </c>
      <c r="I59" s="9">
        <f>+VLOOKUP(C59,persona_rows!A:B,2,FALSE)</f>
        <v>103</v>
      </c>
    </row>
    <row r="60" spans="1:9" ht="28.8" x14ac:dyDescent="0.3">
      <c r="A60" s="10" t="s">
        <v>204</v>
      </c>
      <c r="B60" s="10" t="s">
        <v>205</v>
      </c>
      <c r="C60" s="16">
        <v>43871968</v>
      </c>
      <c r="D60" s="9" t="s">
        <v>90</v>
      </c>
      <c r="E60" s="9">
        <v>2</v>
      </c>
      <c r="F60" s="16" t="s">
        <v>259</v>
      </c>
      <c r="H60" s="9">
        <v>7</v>
      </c>
      <c r="I60" s="9">
        <f>+VLOOKUP(C60,persona_rows!A:B,2,FALSE)</f>
        <v>104</v>
      </c>
    </row>
    <row r="61" spans="1:9" x14ac:dyDescent="0.3">
      <c r="A61" s="10" t="s">
        <v>206</v>
      </c>
      <c r="B61" s="10" t="s">
        <v>207</v>
      </c>
      <c r="C61" s="16">
        <v>43872921</v>
      </c>
      <c r="D61" s="9" t="s">
        <v>90</v>
      </c>
      <c r="E61" s="9">
        <v>2</v>
      </c>
      <c r="F61" s="16" t="s">
        <v>257</v>
      </c>
      <c r="H61" s="9">
        <v>7</v>
      </c>
      <c r="I61" s="9">
        <f>+VLOOKUP(C61,persona_rows!A:B,2,FALSE)</f>
        <v>105</v>
      </c>
    </row>
    <row r="62" spans="1:9" x14ac:dyDescent="0.3">
      <c r="A62" s="10" t="s">
        <v>208</v>
      </c>
      <c r="B62" s="10" t="s">
        <v>115</v>
      </c>
      <c r="C62" s="16">
        <v>44770218</v>
      </c>
      <c r="D62" s="9" t="s">
        <v>90</v>
      </c>
      <c r="E62" s="9">
        <v>2</v>
      </c>
      <c r="F62" s="16" t="s">
        <v>257</v>
      </c>
      <c r="H62" s="9">
        <v>7</v>
      </c>
      <c r="I62" s="9">
        <f>+VLOOKUP(C62,persona_rows!A:B,2,FALSE)</f>
        <v>106</v>
      </c>
    </row>
    <row r="63" spans="1:9" x14ac:dyDescent="0.3">
      <c r="A63" s="10" t="s">
        <v>208</v>
      </c>
      <c r="B63" s="10" t="s">
        <v>209</v>
      </c>
      <c r="C63" s="16">
        <v>45822830</v>
      </c>
      <c r="D63" s="9" t="s">
        <v>90</v>
      </c>
      <c r="E63" s="9">
        <v>2</v>
      </c>
      <c r="F63" s="16" t="s">
        <v>261</v>
      </c>
      <c r="H63" s="9">
        <v>7</v>
      </c>
      <c r="I63" s="9">
        <f>+VLOOKUP(C63,persona_rows!A:B,2,FALSE)</f>
        <v>107</v>
      </c>
    </row>
    <row r="64" spans="1:9" x14ac:dyDescent="0.3">
      <c r="A64" s="10" t="s">
        <v>210</v>
      </c>
      <c r="B64" s="10" t="s">
        <v>211</v>
      </c>
      <c r="C64" s="16">
        <v>47130740</v>
      </c>
      <c r="D64" s="9" t="s">
        <v>90</v>
      </c>
      <c r="E64" s="9">
        <v>2</v>
      </c>
      <c r="F64" s="16" t="s">
        <v>255</v>
      </c>
      <c r="H64" s="9">
        <v>7</v>
      </c>
      <c r="I64" s="9">
        <f>+VLOOKUP(C64,persona_rows!A:B,2,FALSE)</f>
        <v>108</v>
      </c>
    </row>
    <row r="65" spans="1:9" ht="28.8" x14ac:dyDescent="0.3">
      <c r="A65" s="10" t="s">
        <v>212</v>
      </c>
      <c r="B65" s="10" t="s">
        <v>213</v>
      </c>
      <c r="C65" s="16">
        <v>94317983</v>
      </c>
      <c r="D65" s="9" t="s">
        <v>90</v>
      </c>
      <c r="E65" s="9">
        <v>2</v>
      </c>
      <c r="F65" s="16" t="s">
        <v>262</v>
      </c>
      <c r="H65" s="9">
        <v>7</v>
      </c>
      <c r="I65" s="9">
        <f>+VLOOKUP(C65,persona_rows!A:B,2,FALSE)</f>
        <v>109</v>
      </c>
    </row>
    <row r="66" spans="1:9" x14ac:dyDescent="0.3">
      <c r="A66" s="10" t="s">
        <v>214</v>
      </c>
      <c r="B66" s="10" t="s">
        <v>215</v>
      </c>
      <c r="C66" s="16">
        <v>40539626</v>
      </c>
      <c r="D66" s="9" t="s">
        <v>90</v>
      </c>
      <c r="E66" s="9">
        <v>2</v>
      </c>
      <c r="F66" s="16" t="s">
        <v>254</v>
      </c>
      <c r="H66" s="9">
        <v>7</v>
      </c>
      <c r="I66" s="9">
        <f>+VLOOKUP(C66,persona_rows!A:B,2,FALSE)</f>
        <v>110</v>
      </c>
    </row>
    <row r="67" spans="1:9" x14ac:dyDescent="0.3">
      <c r="A67" s="10" t="s">
        <v>216</v>
      </c>
      <c r="B67" s="10" t="s">
        <v>123</v>
      </c>
      <c r="C67" s="16">
        <v>32382777</v>
      </c>
      <c r="D67" s="9" t="s">
        <v>90</v>
      </c>
      <c r="E67" s="9">
        <v>2</v>
      </c>
      <c r="F67" s="16" t="s">
        <v>258</v>
      </c>
      <c r="H67" s="9">
        <v>7</v>
      </c>
      <c r="I67" s="9">
        <f>+VLOOKUP(C67,persona_rows!A:B,2,FALSE)</f>
        <v>111</v>
      </c>
    </row>
    <row r="68" spans="1:9" x14ac:dyDescent="0.3">
      <c r="A68" s="10" t="s">
        <v>217</v>
      </c>
      <c r="B68" s="10" t="s">
        <v>163</v>
      </c>
      <c r="C68" s="16">
        <v>40511949</v>
      </c>
      <c r="D68" s="9" t="s">
        <v>90</v>
      </c>
      <c r="E68" s="9">
        <v>2</v>
      </c>
      <c r="F68" s="16" t="s">
        <v>261</v>
      </c>
      <c r="H68" s="9">
        <v>7</v>
      </c>
      <c r="I68" s="9">
        <f>+VLOOKUP(C68,persona_rows!A:B,2,FALSE)</f>
        <v>112</v>
      </c>
    </row>
    <row r="69" spans="1:9" x14ac:dyDescent="0.3">
      <c r="A69" s="10" t="s">
        <v>218</v>
      </c>
      <c r="B69" s="10" t="s">
        <v>219</v>
      </c>
      <c r="C69" s="15" t="s">
        <v>243</v>
      </c>
      <c r="D69" s="9" t="s">
        <v>90</v>
      </c>
      <c r="E69" s="9">
        <v>2</v>
      </c>
      <c r="H69" s="9">
        <v>7</v>
      </c>
    </row>
    <row r="70" spans="1:9" x14ac:dyDescent="0.3">
      <c r="A70" s="10" t="s">
        <v>220</v>
      </c>
      <c r="B70" s="10" t="s">
        <v>125</v>
      </c>
      <c r="C70" s="16">
        <v>42024019</v>
      </c>
      <c r="D70" s="9" t="s">
        <v>90</v>
      </c>
      <c r="E70" s="9">
        <v>2</v>
      </c>
      <c r="F70" s="16" t="s">
        <v>257</v>
      </c>
      <c r="H70" s="9">
        <v>7</v>
      </c>
      <c r="I70" s="9">
        <f>+VLOOKUP(C70,persona_rows!A:B,2,FALSE)</f>
        <v>114</v>
      </c>
    </row>
    <row r="71" spans="1:9" x14ac:dyDescent="0.3">
      <c r="A71" s="10" t="s">
        <v>221</v>
      </c>
      <c r="B71" s="10" t="s">
        <v>144</v>
      </c>
      <c r="C71" s="16">
        <v>46364162</v>
      </c>
      <c r="D71" s="9" t="s">
        <v>90</v>
      </c>
      <c r="E71" s="9">
        <v>2</v>
      </c>
      <c r="F71" s="16" t="s">
        <v>257</v>
      </c>
      <c r="H71" s="9">
        <v>7</v>
      </c>
      <c r="I71" s="9">
        <f>+VLOOKUP(C71,persona_rows!A:B,2,FALSE)</f>
        <v>115</v>
      </c>
    </row>
    <row r="72" spans="1:9" x14ac:dyDescent="0.3">
      <c r="A72" s="10" t="s">
        <v>222</v>
      </c>
      <c r="B72" s="10" t="s">
        <v>163</v>
      </c>
      <c r="C72" s="16">
        <v>47698784</v>
      </c>
      <c r="D72" s="9" t="s">
        <v>90</v>
      </c>
      <c r="E72" s="9">
        <v>2</v>
      </c>
      <c r="F72" s="16" t="s">
        <v>254</v>
      </c>
      <c r="H72" s="9">
        <v>7</v>
      </c>
      <c r="I72" s="9">
        <f>+VLOOKUP(C72,persona_rows!A:B,2,FALSE)</f>
        <v>116</v>
      </c>
    </row>
    <row r="73" spans="1:9" ht="28.8" x14ac:dyDescent="0.3">
      <c r="A73" s="10" t="s">
        <v>223</v>
      </c>
      <c r="B73" s="10" t="s">
        <v>224</v>
      </c>
      <c r="C73" s="16">
        <v>45689407</v>
      </c>
      <c r="D73" s="9" t="s">
        <v>90</v>
      </c>
      <c r="E73" s="9">
        <v>2</v>
      </c>
      <c r="F73" s="16" t="s">
        <v>253</v>
      </c>
      <c r="H73" s="9">
        <v>7</v>
      </c>
      <c r="I73" s="9">
        <f>+VLOOKUP(C73,persona_rows!A:B,2,FALSE)</f>
        <v>117</v>
      </c>
    </row>
    <row r="74" spans="1:9" x14ac:dyDescent="0.3">
      <c r="A74" s="10" t="s">
        <v>225</v>
      </c>
      <c r="B74" s="10" t="s">
        <v>226</v>
      </c>
      <c r="C74" s="16">
        <v>45327182</v>
      </c>
      <c r="D74" s="9" t="s">
        <v>90</v>
      </c>
      <c r="E74" s="9">
        <v>2</v>
      </c>
      <c r="F74" s="16" t="s">
        <v>258</v>
      </c>
      <c r="H74" s="9">
        <v>7</v>
      </c>
      <c r="I74" s="9">
        <f>+VLOOKUP(C74,persona_rows!A:B,2,FALSE)</f>
        <v>118</v>
      </c>
    </row>
    <row r="75" spans="1:9" ht="28.8" x14ac:dyDescent="0.3">
      <c r="A75" s="10" t="s">
        <v>227</v>
      </c>
      <c r="B75" s="10" t="s">
        <v>228</v>
      </c>
      <c r="C75" s="16">
        <v>31606072</v>
      </c>
      <c r="D75" s="9" t="s">
        <v>90</v>
      </c>
      <c r="E75" s="9">
        <v>2</v>
      </c>
      <c r="F75" s="16" t="s">
        <v>256</v>
      </c>
      <c r="H75" s="9">
        <v>7</v>
      </c>
      <c r="I75" s="9">
        <f>+VLOOKUP(C75,persona_rows!A:B,2,FALSE)</f>
        <v>119</v>
      </c>
    </row>
    <row r="76" spans="1:9" x14ac:dyDescent="0.3">
      <c r="A76" s="10" t="s">
        <v>229</v>
      </c>
      <c r="B76" s="10" t="s">
        <v>230</v>
      </c>
      <c r="C76" s="16">
        <v>36846181</v>
      </c>
      <c r="D76" s="9" t="s">
        <v>90</v>
      </c>
      <c r="E76" s="9">
        <v>2</v>
      </c>
      <c r="F76" s="16" t="s">
        <v>258</v>
      </c>
      <c r="H76" s="9">
        <v>7</v>
      </c>
      <c r="I76" s="9">
        <f>+VLOOKUP(C76,persona_rows!A:B,2,FALSE)</f>
        <v>120</v>
      </c>
    </row>
    <row r="77" spans="1:9" x14ac:dyDescent="0.3">
      <c r="A77" s="10" t="s">
        <v>231</v>
      </c>
      <c r="B77" s="10" t="s">
        <v>105</v>
      </c>
      <c r="C77" s="16">
        <v>39390051</v>
      </c>
      <c r="D77" s="9" t="s">
        <v>90</v>
      </c>
      <c r="E77" s="9">
        <v>2</v>
      </c>
      <c r="F77" s="16" t="s">
        <v>257</v>
      </c>
      <c r="H77" s="9">
        <v>7</v>
      </c>
      <c r="I77" s="9">
        <f>+VLOOKUP(C77,persona_rows!A:B,2,FALSE)</f>
        <v>121</v>
      </c>
    </row>
    <row r="78" spans="1:9" x14ac:dyDescent="0.3">
      <c r="A78" s="10" t="s">
        <v>232</v>
      </c>
      <c r="B78" s="10" t="s">
        <v>233</v>
      </c>
      <c r="C78" s="16">
        <v>44727265</v>
      </c>
      <c r="D78" s="9" t="s">
        <v>90</v>
      </c>
      <c r="E78" s="9">
        <v>2</v>
      </c>
      <c r="F78" s="16" t="s">
        <v>254</v>
      </c>
      <c r="H78" s="9">
        <v>7</v>
      </c>
      <c r="I78" s="9">
        <f>+VLOOKUP(C78,persona_rows!A:B,2,FALSE)</f>
        <v>122</v>
      </c>
    </row>
    <row r="79" spans="1:9" ht="28.8" x14ac:dyDescent="0.3">
      <c r="A79" s="10" t="s">
        <v>234</v>
      </c>
      <c r="B79" s="10" t="s">
        <v>235</v>
      </c>
      <c r="C79" s="16">
        <v>44208005</v>
      </c>
      <c r="D79" s="9" t="s">
        <v>90</v>
      </c>
      <c r="E79" s="9">
        <v>2</v>
      </c>
      <c r="F79" s="16" t="s">
        <v>254</v>
      </c>
      <c r="H79" s="9">
        <v>7</v>
      </c>
      <c r="I79" s="9">
        <f>+VLOOKUP(C79,persona_rows!A:B,2,FALSE)</f>
        <v>123</v>
      </c>
    </row>
    <row r="80" spans="1:9" ht="28.8" x14ac:dyDescent="0.3">
      <c r="A80" s="10" t="s">
        <v>236</v>
      </c>
      <c r="B80" s="10" t="s">
        <v>237</v>
      </c>
      <c r="C80" s="16">
        <v>45738945</v>
      </c>
      <c r="D80" s="9" t="s">
        <v>90</v>
      </c>
      <c r="E80" s="9">
        <v>2</v>
      </c>
      <c r="F80" s="16" t="s">
        <v>257</v>
      </c>
      <c r="H80" s="9">
        <v>7</v>
      </c>
      <c r="I80" s="9" t="e">
        <f>+VLOOKUP(C80,persona_rows!A:B,2,FALSE)</f>
        <v>#N/A</v>
      </c>
    </row>
    <row r="81" spans="1:9" x14ac:dyDescent="0.3">
      <c r="A81" s="10" t="s">
        <v>238</v>
      </c>
      <c r="B81" s="10" t="s">
        <v>239</v>
      </c>
      <c r="C81" s="16">
        <v>42206857</v>
      </c>
      <c r="D81" s="9" t="s">
        <v>90</v>
      </c>
      <c r="E81" s="9">
        <v>2</v>
      </c>
      <c r="F81" s="16" t="s">
        <v>253</v>
      </c>
      <c r="H81" s="9">
        <v>7</v>
      </c>
      <c r="I81" s="9" t="e">
        <f>+VLOOKUP(C81,persona_rows!A:B,2,FALSE)</f>
        <v>#N/A</v>
      </c>
    </row>
    <row r="82" spans="1:9" x14ac:dyDescent="0.3">
      <c r="A82" s="10" t="s">
        <v>240</v>
      </c>
      <c r="B82" s="10" t="s">
        <v>241</v>
      </c>
      <c r="C82" s="16">
        <v>39268248</v>
      </c>
      <c r="D82" s="9" t="s">
        <v>90</v>
      </c>
      <c r="E82" s="9">
        <v>2</v>
      </c>
      <c r="F82" s="16" t="s">
        <v>262</v>
      </c>
      <c r="H82" s="9">
        <v>7</v>
      </c>
      <c r="I82" s="9" t="e">
        <f>+VLOOKUP(C82,persona_rows!A:B,2,FALSE)</f>
        <v>#N/A</v>
      </c>
    </row>
    <row r="83" spans="1:9" x14ac:dyDescent="0.3">
      <c r="A83" s="10" t="s">
        <v>242</v>
      </c>
      <c r="B83" s="10" t="s">
        <v>148</v>
      </c>
      <c r="C83" s="16">
        <v>43814255</v>
      </c>
      <c r="D83" s="9" t="s">
        <v>90</v>
      </c>
      <c r="E83" s="9">
        <v>2</v>
      </c>
      <c r="F83" s="16" t="s">
        <v>255</v>
      </c>
      <c r="H83" s="9">
        <v>7</v>
      </c>
      <c r="I83" s="9" t="e">
        <f>+VLOOKUP(C83,persona_rows!A:B,2,FALSE)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F9DA-922D-4BAB-9CC4-2FDA7A04CF4E}">
  <dimension ref="A1:C83"/>
  <sheetViews>
    <sheetView tabSelected="1" workbookViewId="0">
      <selection activeCell="C2" sqref="C2:C83"/>
    </sheetView>
  </sheetViews>
  <sheetFormatPr baseColWidth="10" defaultRowHeight="14.4" x14ac:dyDescent="0.3"/>
  <cols>
    <col min="1" max="1" width="11.5546875" style="14"/>
    <col min="2" max="2" width="11.5546875" style="9"/>
  </cols>
  <sheetData>
    <row r="1" spans="1:3" x14ac:dyDescent="0.3">
      <c r="A1" s="14" t="s">
        <v>96</v>
      </c>
    </row>
    <row r="2" spans="1:3" x14ac:dyDescent="0.3">
      <c r="A2" s="16">
        <v>35270492</v>
      </c>
      <c r="B2" s="16" t="s">
        <v>254</v>
      </c>
      <c r="C2" t="str">
        <f>+CONCATENATE("update persona set posicion = '",B2,"' where dni = '",A2,"';")</f>
        <v>update persona set posicion = 'HOOKER' where dni = '35270492';</v>
      </c>
    </row>
    <row r="3" spans="1:3" x14ac:dyDescent="0.3">
      <c r="A3" s="16">
        <v>46908023</v>
      </c>
      <c r="B3" s="16" t="s">
        <v>255</v>
      </c>
      <c r="C3" t="str">
        <f t="shared" ref="C3:C66" si="0">+CONCATENATE("update persona set posicion = '",B3,"' where dni = '",A3,"';")</f>
        <v>update persona set posicion = 'WING' where dni = '46908023';</v>
      </c>
    </row>
    <row r="4" spans="1:3" x14ac:dyDescent="0.3">
      <c r="A4" s="16">
        <v>32674341</v>
      </c>
      <c r="B4" s="16" t="s">
        <v>256</v>
      </c>
      <c r="C4" t="str">
        <f t="shared" si="0"/>
        <v>update persona set posicion = 'OCTAVO' where dni = '32674341';</v>
      </c>
    </row>
    <row r="5" spans="1:3" x14ac:dyDescent="0.3">
      <c r="A5" s="16">
        <v>46915289</v>
      </c>
      <c r="B5" s="16" t="s">
        <v>254</v>
      </c>
      <c r="C5" t="str">
        <f t="shared" si="0"/>
        <v>update persona set posicion = 'HOOKER' where dni = '46915289';</v>
      </c>
    </row>
    <row r="6" spans="1:3" x14ac:dyDescent="0.3">
      <c r="A6" s="16">
        <v>43720513</v>
      </c>
      <c r="B6" s="16" t="s">
        <v>254</v>
      </c>
      <c r="C6" t="str">
        <f t="shared" si="0"/>
        <v>update persona set posicion = 'HOOKER' where dni = '43720513';</v>
      </c>
    </row>
    <row r="7" spans="1:3" x14ac:dyDescent="0.3">
      <c r="A7" s="16">
        <v>45235320</v>
      </c>
      <c r="B7" s="16" t="s">
        <v>257</v>
      </c>
      <c r="C7" t="str">
        <f t="shared" si="0"/>
        <v>update persona set posicion = 'ALA' where dni = '45235320';</v>
      </c>
    </row>
    <row r="8" spans="1:3" x14ac:dyDescent="0.3">
      <c r="A8" s="15" t="s">
        <v>243</v>
      </c>
      <c r="B8" s="16" t="s">
        <v>258</v>
      </c>
      <c r="C8" t="str">
        <f t="shared" si="0"/>
        <v>update persona set posicion = 'PILARDER' where dni = '';</v>
      </c>
    </row>
    <row r="9" spans="1:3" x14ac:dyDescent="0.3">
      <c r="A9" s="16">
        <v>47344151</v>
      </c>
      <c r="B9" s="16" t="s">
        <v>259</v>
      </c>
      <c r="C9" t="str">
        <f t="shared" si="0"/>
        <v>update persona set posicion = 'MEDIOSCR' where dni = '47344151';</v>
      </c>
    </row>
    <row r="10" spans="1:3" x14ac:dyDescent="0.3">
      <c r="A10" s="16">
        <v>47295732</v>
      </c>
      <c r="B10" s="16" t="s">
        <v>256</v>
      </c>
      <c r="C10" t="str">
        <f t="shared" si="0"/>
        <v>update persona set posicion = 'OCTAVO' where dni = '47295732';</v>
      </c>
    </row>
    <row r="11" spans="1:3" x14ac:dyDescent="0.3">
      <c r="A11" s="16">
        <v>37611683</v>
      </c>
      <c r="B11" s="16" t="s">
        <v>258</v>
      </c>
      <c r="C11" t="str">
        <f t="shared" si="0"/>
        <v>update persona set posicion = 'PILARDER' where dni = '37611683';</v>
      </c>
    </row>
    <row r="12" spans="1:3" x14ac:dyDescent="0.3">
      <c r="A12" s="16">
        <v>45926851</v>
      </c>
      <c r="B12" s="16" t="s">
        <v>255</v>
      </c>
      <c r="C12" t="str">
        <f t="shared" si="0"/>
        <v>update persona set posicion = 'WING' where dni = '45926851';</v>
      </c>
    </row>
    <row r="13" spans="1:3" x14ac:dyDescent="0.3">
      <c r="A13" s="16">
        <v>44484100</v>
      </c>
      <c r="B13" s="16" t="s">
        <v>257</v>
      </c>
      <c r="C13" t="str">
        <f t="shared" si="0"/>
        <v>update persona set posicion = 'ALA' where dni = '44484100';</v>
      </c>
    </row>
    <row r="14" spans="1:3" x14ac:dyDescent="0.3">
      <c r="A14" s="16">
        <v>47029831</v>
      </c>
      <c r="B14" s="16" t="s">
        <v>256</v>
      </c>
      <c r="C14" t="str">
        <f t="shared" si="0"/>
        <v>update persona set posicion = 'OCTAVO' where dni = '47029831';</v>
      </c>
    </row>
    <row r="15" spans="1:3" x14ac:dyDescent="0.3">
      <c r="A15" s="16">
        <v>45822370</v>
      </c>
      <c r="B15" s="16" t="s">
        <v>257</v>
      </c>
      <c r="C15" t="str">
        <f t="shared" si="0"/>
        <v>update persona set posicion = 'ALA' where dni = '45822370';</v>
      </c>
    </row>
    <row r="16" spans="1:3" x14ac:dyDescent="0.3">
      <c r="A16" s="16">
        <v>44158542</v>
      </c>
      <c r="B16" s="16" t="s">
        <v>253</v>
      </c>
      <c r="C16" t="str">
        <f t="shared" si="0"/>
        <v>update persona set posicion = 'CENTRO' where dni = '44158542';</v>
      </c>
    </row>
    <row r="17" spans="1:3" x14ac:dyDescent="0.3">
      <c r="A17" s="16">
        <v>41496855</v>
      </c>
      <c r="B17" s="16" t="s">
        <v>253</v>
      </c>
      <c r="C17" t="str">
        <f t="shared" si="0"/>
        <v>update persona set posicion = 'CENTRO' where dni = '41496855';</v>
      </c>
    </row>
    <row r="18" spans="1:3" x14ac:dyDescent="0.3">
      <c r="A18" s="16">
        <v>45571521</v>
      </c>
      <c r="C18" t="str">
        <f t="shared" si="0"/>
        <v>update persona set posicion = '' where dni = '45571521';</v>
      </c>
    </row>
    <row r="19" spans="1:3" x14ac:dyDescent="0.3">
      <c r="A19" s="16">
        <v>43870592</v>
      </c>
      <c r="B19" s="16" t="s">
        <v>260</v>
      </c>
      <c r="C19" t="str">
        <f t="shared" si="0"/>
        <v>update persona set posicion = 'FULLBACK' where dni = '43870592';</v>
      </c>
    </row>
    <row r="20" spans="1:3" x14ac:dyDescent="0.3">
      <c r="A20" s="16">
        <v>39657307</v>
      </c>
      <c r="B20" s="16" t="s">
        <v>255</v>
      </c>
      <c r="C20" t="str">
        <f t="shared" si="0"/>
        <v>update persona set posicion = 'WING' where dni = '39657307';</v>
      </c>
    </row>
    <row r="21" spans="1:3" x14ac:dyDescent="0.3">
      <c r="A21" s="16">
        <v>46209547</v>
      </c>
      <c r="B21" s="16" t="s">
        <v>257</v>
      </c>
      <c r="C21" t="str">
        <f t="shared" si="0"/>
        <v>update persona set posicion = 'ALA' where dni = '46209547';</v>
      </c>
    </row>
    <row r="22" spans="1:3" x14ac:dyDescent="0.3">
      <c r="A22" s="16">
        <v>26046885</v>
      </c>
      <c r="B22" s="16" t="s">
        <v>261</v>
      </c>
      <c r="C22" t="str">
        <f t="shared" si="0"/>
        <v>update persona set posicion = 'APERTURA' where dni = '26046885';</v>
      </c>
    </row>
    <row r="23" spans="1:3" x14ac:dyDescent="0.3">
      <c r="A23" s="16">
        <v>46211875</v>
      </c>
      <c r="B23" s="16" t="s">
        <v>257</v>
      </c>
      <c r="C23" t="str">
        <f t="shared" si="0"/>
        <v>update persona set posicion = 'ALA' where dni = '46211875';</v>
      </c>
    </row>
    <row r="24" spans="1:3" x14ac:dyDescent="0.3">
      <c r="A24" s="16">
        <v>42340901</v>
      </c>
      <c r="B24" s="16" t="s">
        <v>262</v>
      </c>
      <c r="C24" t="str">
        <f t="shared" si="0"/>
        <v>update persona set posicion = 'SEGUNDA' where dni = '42340901';</v>
      </c>
    </row>
    <row r="25" spans="1:3" x14ac:dyDescent="0.3">
      <c r="A25" s="16">
        <v>36359940</v>
      </c>
      <c r="B25" s="16" t="s">
        <v>257</v>
      </c>
      <c r="C25" t="str">
        <f t="shared" si="0"/>
        <v>update persona set posicion = 'ALA' where dni = '36359940';</v>
      </c>
    </row>
    <row r="26" spans="1:3" x14ac:dyDescent="0.3">
      <c r="A26" s="16">
        <v>38455371</v>
      </c>
      <c r="B26" s="16" t="s">
        <v>254</v>
      </c>
      <c r="C26" t="str">
        <f t="shared" si="0"/>
        <v>update persona set posicion = 'HOOKER' where dni = '38455371';</v>
      </c>
    </row>
    <row r="27" spans="1:3" x14ac:dyDescent="0.3">
      <c r="A27" s="16">
        <v>35973835</v>
      </c>
      <c r="B27" s="16" t="s">
        <v>259</v>
      </c>
      <c r="C27" t="str">
        <f t="shared" si="0"/>
        <v>update persona set posicion = 'MEDIOSCR' where dni = '35973835';</v>
      </c>
    </row>
    <row r="28" spans="1:3" x14ac:dyDescent="0.3">
      <c r="A28" s="16">
        <v>35960229</v>
      </c>
      <c r="C28" t="str">
        <f t="shared" si="0"/>
        <v>update persona set posicion = '' where dni = '35960229';</v>
      </c>
    </row>
    <row r="29" spans="1:3" x14ac:dyDescent="0.3">
      <c r="A29" s="16">
        <v>46210569</v>
      </c>
      <c r="B29" s="16" t="s">
        <v>255</v>
      </c>
      <c r="C29" t="str">
        <f t="shared" si="0"/>
        <v>update persona set posicion = 'WING' where dni = '46210569';</v>
      </c>
    </row>
    <row r="30" spans="1:3" x14ac:dyDescent="0.3">
      <c r="A30" s="16">
        <v>38710028</v>
      </c>
      <c r="B30" s="16" t="s">
        <v>261</v>
      </c>
      <c r="C30" t="str">
        <f t="shared" si="0"/>
        <v>update persona set posicion = 'APERTURA' where dni = '38710028';</v>
      </c>
    </row>
    <row r="31" spans="1:3" x14ac:dyDescent="0.3">
      <c r="A31" s="16">
        <v>35793403</v>
      </c>
      <c r="B31" s="16" t="s">
        <v>256</v>
      </c>
      <c r="C31" t="str">
        <f t="shared" si="0"/>
        <v>update persona set posicion = 'OCTAVO' where dni = '35793403';</v>
      </c>
    </row>
    <row r="32" spans="1:3" x14ac:dyDescent="0.3">
      <c r="A32" s="16">
        <v>46213466</v>
      </c>
      <c r="B32" s="16" t="s">
        <v>253</v>
      </c>
      <c r="C32" t="str">
        <f t="shared" si="0"/>
        <v>update persona set posicion = 'CENTRO' where dni = '46213466';</v>
      </c>
    </row>
    <row r="33" spans="1:3" x14ac:dyDescent="0.3">
      <c r="A33" s="16">
        <v>47170638</v>
      </c>
      <c r="B33" s="16" t="s">
        <v>253</v>
      </c>
      <c r="C33" t="str">
        <f t="shared" si="0"/>
        <v>update persona set posicion = 'CENTRO' where dni = '47170638';</v>
      </c>
    </row>
    <row r="34" spans="1:3" x14ac:dyDescent="0.3">
      <c r="A34" s="16">
        <v>44729576</v>
      </c>
      <c r="B34" s="16" t="s">
        <v>253</v>
      </c>
      <c r="C34" t="str">
        <f t="shared" si="0"/>
        <v>update persona set posicion = 'CENTRO' where dni = '44729576';</v>
      </c>
    </row>
    <row r="35" spans="1:3" x14ac:dyDescent="0.3">
      <c r="A35" s="16">
        <v>42821910</v>
      </c>
      <c r="B35" s="16" t="s">
        <v>256</v>
      </c>
      <c r="C35" t="str">
        <f t="shared" si="0"/>
        <v>update persona set posicion = 'OCTAVO' where dni = '42821910';</v>
      </c>
    </row>
    <row r="36" spans="1:3" x14ac:dyDescent="0.3">
      <c r="A36" s="16">
        <v>45686803</v>
      </c>
      <c r="B36" s="16" t="s">
        <v>255</v>
      </c>
      <c r="C36" t="str">
        <f t="shared" si="0"/>
        <v>update persona set posicion = 'WING' where dni = '45686803';</v>
      </c>
    </row>
    <row r="37" spans="1:3" x14ac:dyDescent="0.3">
      <c r="A37" s="16">
        <v>42013957</v>
      </c>
      <c r="B37" s="16" t="s">
        <v>259</v>
      </c>
      <c r="C37" t="str">
        <f t="shared" si="0"/>
        <v>update persona set posicion = 'MEDIOSCR' where dni = '42013957';</v>
      </c>
    </row>
    <row r="38" spans="1:3" x14ac:dyDescent="0.3">
      <c r="A38" s="16">
        <v>43010600</v>
      </c>
      <c r="B38" s="16" t="s">
        <v>255</v>
      </c>
      <c r="C38" t="str">
        <f t="shared" si="0"/>
        <v>update persona set posicion = 'WING' where dni = '43010600';</v>
      </c>
    </row>
    <row r="39" spans="1:3" x14ac:dyDescent="0.3">
      <c r="A39" s="16">
        <v>45753658</v>
      </c>
      <c r="B39" s="16" t="s">
        <v>255</v>
      </c>
      <c r="C39" t="str">
        <f t="shared" si="0"/>
        <v>update persona set posicion = 'WING' where dni = '45753658';</v>
      </c>
    </row>
    <row r="40" spans="1:3" x14ac:dyDescent="0.3">
      <c r="A40" s="16">
        <v>47127274</v>
      </c>
      <c r="B40" s="16" t="s">
        <v>255</v>
      </c>
      <c r="C40" t="str">
        <f t="shared" si="0"/>
        <v>update persona set posicion = 'WING' where dni = '47127274';</v>
      </c>
    </row>
    <row r="41" spans="1:3" x14ac:dyDescent="0.3">
      <c r="A41" s="16">
        <v>45581587</v>
      </c>
      <c r="B41" s="16" t="s">
        <v>259</v>
      </c>
      <c r="C41" t="str">
        <f t="shared" si="0"/>
        <v>update persona set posicion = 'MEDIOSCR' where dni = '45581587';</v>
      </c>
    </row>
    <row r="42" spans="1:3" x14ac:dyDescent="0.3">
      <c r="A42" s="16">
        <v>47787084</v>
      </c>
      <c r="B42" s="16" t="s">
        <v>255</v>
      </c>
      <c r="C42" t="str">
        <f t="shared" si="0"/>
        <v>update persona set posicion = 'WING' where dni = '47787084';</v>
      </c>
    </row>
    <row r="43" spans="1:3" x14ac:dyDescent="0.3">
      <c r="A43" s="16">
        <v>37424399</v>
      </c>
      <c r="B43" s="16" t="s">
        <v>256</v>
      </c>
      <c r="C43" t="str">
        <f t="shared" si="0"/>
        <v>update persona set posicion = 'OCTAVO' where dni = '37424399';</v>
      </c>
    </row>
    <row r="44" spans="1:3" x14ac:dyDescent="0.3">
      <c r="A44" s="16">
        <v>41665220</v>
      </c>
      <c r="B44" s="16" t="s">
        <v>258</v>
      </c>
      <c r="C44" t="str">
        <f t="shared" si="0"/>
        <v>update persona set posicion = 'PILARDER' where dni = '41665220';</v>
      </c>
    </row>
    <row r="45" spans="1:3" x14ac:dyDescent="0.3">
      <c r="A45" s="16">
        <v>41394671</v>
      </c>
      <c r="B45" s="16" t="s">
        <v>253</v>
      </c>
      <c r="C45" t="str">
        <f t="shared" si="0"/>
        <v>update persona set posicion = 'CENTRO' where dni = '41394671';</v>
      </c>
    </row>
    <row r="46" spans="1:3" x14ac:dyDescent="0.3">
      <c r="A46" s="16">
        <v>44158148</v>
      </c>
      <c r="B46" s="16" t="s">
        <v>255</v>
      </c>
      <c r="C46" t="str">
        <f t="shared" si="0"/>
        <v>update persona set posicion = 'WING' where dni = '44158148';</v>
      </c>
    </row>
    <row r="47" spans="1:3" x14ac:dyDescent="0.3">
      <c r="A47" s="16">
        <v>38424153</v>
      </c>
      <c r="B47" s="16" t="s">
        <v>255</v>
      </c>
      <c r="C47" t="str">
        <f t="shared" si="0"/>
        <v>update persona set posicion = 'WING' where dni = '38424153';</v>
      </c>
    </row>
    <row r="48" spans="1:3" x14ac:dyDescent="0.3">
      <c r="A48" s="16">
        <v>45013618</v>
      </c>
      <c r="B48" s="16" t="s">
        <v>255</v>
      </c>
      <c r="C48" t="str">
        <f t="shared" si="0"/>
        <v>update persona set posicion = 'WING' where dni = '45013618';</v>
      </c>
    </row>
    <row r="49" spans="1:3" x14ac:dyDescent="0.3">
      <c r="A49" s="16">
        <v>47292142</v>
      </c>
      <c r="B49" s="16" t="s">
        <v>255</v>
      </c>
      <c r="C49" t="str">
        <f t="shared" si="0"/>
        <v>update persona set posicion = 'WING' where dni = '47292142';</v>
      </c>
    </row>
    <row r="50" spans="1:3" x14ac:dyDescent="0.3">
      <c r="A50" s="16">
        <v>43086645</v>
      </c>
      <c r="B50" s="16" t="s">
        <v>253</v>
      </c>
      <c r="C50" t="str">
        <f t="shared" si="0"/>
        <v>update persona set posicion = 'CENTRO' where dni = '43086645';</v>
      </c>
    </row>
    <row r="51" spans="1:3" x14ac:dyDescent="0.3">
      <c r="A51" s="16">
        <v>34890117</v>
      </c>
      <c r="B51" s="16" t="s">
        <v>257</v>
      </c>
      <c r="C51" t="str">
        <f t="shared" si="0"/>
        <v>update persona set posicion = 'ALA' where dni = '34890117';</v>
      </c>
    </row>
    <row r="52" spans="1:3" x14ac:dyDescent="0.3">
      <c r="A52" s="16">
        <v>37143159</v>
      </c>
      <c r="B52" s="16" t="s">
        <v>263</v>
      </c>
      <c r="C52" t="str">
        <f t="shared" si="0"/>
        <v>update persona set posicion = 'PILARIZQ' where dni = '37143159';</v>
      </c>
    </row>
    <row r="53" spans="1:3" x14ac:dyDescent="0.3">
      <c r="A53" s="16">
        <v>38707813</v>
      </c>
      <c r="B53" s="16" t="s">
        <v>263</v>
      </c>
      <c r="C53" t="str">
        <f t="shared" si="0"/>
        <v>update persona set posicion = 'PILARIZQ' where dni = '38707813';</v>
      </c>
    </row>
    <row r="54" spans="1:3" x14ac:dyDescent="0.3">
      <c r="A54" s="16">
        <v>42146024</v>
      </c>
      <c r="B54" s="16" t="s">
        <v>258</v>
      </c>
      <c r="C54" t="str">
        <f t="shared" si="0"/>
        <v>update persona set posicion = 'PILARDER' where dni = '42146024';</v>
      </c>
    </row>
    <row r="55" spans="1:3" x14ac:dyDescent="0.3">
      <c r="A55" s="16">
        <v>44788841</v>
      </c>
      <c r="B55" s="16" t="s">
        <v>263</v>
      </c>
      <c r="C55" t="str">
        <f t="shared" si="0"/>
        <v>update persona set posicion = 'PILARIZQ' where dni = '44788841';</v>
      </c>
    </row>
    <row r="56" spans="1:3" x14ac:dyDescent="0.3">
      <c r="A56" s="16">
        <v>47168882</v>
      </c>
      <c r="C56" t="str">
        <f t="shared" si="0"/>
        <v>update persona set posicion = '' where dni = '47168882';</v>
      </c>
    </row>
    <row r="57" spans="1:3" x14ac:dyDescent="0.3">
      <c r="A57" s="16">
        <v>39654261</v>
      </c>
      <c r="B57" s="16" t="s">
        <v>262</v>
      </c>
      <c r="C57" t="str">
        <f t="shared" si="0"/>
        <v>update persona set posicion = 'SEGUNDA' where dni = '39654261';</v>
      </c>
    </row>
    <row r="58" spans="1:3" x14ac:dyDescent="0.3">
      <c r="A58" s="16">
        <v>42647195</v>
      </c>
      <c r="B58" s="16" t="s">
        <v>263</v>
      </c>
      <c r="C58" t="str">
        <f t="shared" si="0"/>
        <v>update persona set posicion = 'PILARIZQ' where dni = '42647195';</v>
      </c>
    </row>
    <row r="59" spans="1:3" x14ac:dyDescent="0.3">
      <c r="A59" s="16">
        <v>44852158</v>
      </c>
      <c r="B59" s="16" t="s">
        <v>259</v>
      </c>
      <c r="C59" t="str">
        <f t="shared" si="0"/>
        <v>update persona set posicion = 'MEDIOSCR' where dni = '44852158';</v>
      </c>
    </row>
    <row r="60" spans="1:3" x14ac:dyDescent="0.3">
      <c r="A60" s="16">
        <v>43871968</v>
      </c>
      <c r="B60" s="16" t="s">
        <v>259</v>
      </c>
      <c r="C60" t="str">
        <f t="shared" si="0"/>
        <v>update persona set posicion = 'MEDIOSCR' where dni = '43871968';</v>
      </c>
    </row>
    <row r="61" spans="1:3" x14ac:dyDescent="0.3">
      <c r="A61" s="16">
        <v>43872921</v>
      </c>
      <c r="B61" s="16" t="s">
        <v>257</v>
      </c>
      <c r="C61" t="str">
        <f t="shared" si="0"/>
        <v>update persona set posicion = 'ALA' where dni = '43872921';</v>
      </c>
    </row>
    <row r="62" spans="1:3" x14ac:dyDescent="0.3">
      <c r="A62" s="16">
        <v>44770218</v>
      </c>
      <c r="B62" s="16" t="s">
        <v>257</v>
      </c>
      <c r="C62" t="str">
        <f t="shared" si="0"/>
        <v>update persona set posicion = 'ALA' where dni = '44770218';</v>
      </c>
    </row>
    <row r="63" spans="1:3" x14ac:dyDescent="0.3">
      <c r="A63" s="16">
        <v>45822830</v>
      </c>
      <c r="B63" s="16" t="s">
        <v>261</v>
      </c>
      <c r="C63" t="str">
        <f t="shared" si="0"/>
        <v>update persona set posicion = 'APERTURA' where dni = '45822830';</v>
      </c>
    </row>
    <row r="64" spans="1:3" x14ac:dyDescent="0.3">
      <c r="A64" s="16">
        <v>47130740</v>
      </c>
      <c r="B64" s="16" t="s">
        <v>255</v>
      </c>
      <c r="C64" t="str">
        <f t="shared" si="0"/>
        <v>update persona set posicion = 'WING' where dni = '47130740';</v>
      </c>
    </row>
    <row r="65" spans="1:3" x14ac:dyDescent="0.3">
      <c r="A65" s="16">
        <v>94317983</v>
      </c>
      <c r="B65" s="16" t="s">
        <v>262</v>
      </c>
      <c r="C65" t="str">
        <f t="shared" si="0"/>
        <v>update persona set posicion = 'SEGUNDA' where dni = '94317983';</v>
      </c>
    </row>
    <row r="66" spans="1:3" x14ac:dyDescent="0.3">
      <c r="A66" s="16">
        <v>40539626</v>
      </c>
      <c r="B66" s="16" t="s">
        <v>254</v>
      </c>
      <c r="C66" t="str">
        <f t="shared" si="0"/>
        <v>update persona set posicion = 'HOOKER' where dni = '40539626';</v>
      </c>
    </row>
    <row r="67" spans="1:3" x14ac:dyDescent="0.3">
      <c r="A67" s="16">
        <v>32382777</v>
      </c>
      <c r="B67" s="16" t="s">
        <v>258</v>
      </c>
      <c r="C67" t="str">
        <f t="shared" ref="C67:C83" si="1">+CONCATENATE("update persona set posicion = '",B67,"' where dni = '",A67,"';")</f>
        <v>update persona set posicion = 'PILARDER' where dni = '32382777';</v>
      </c>
    </row>
    <row r="68" spans="1:3" x14ac:dyDescent="0.3">
      <c r="A68" s="16">
        <v>40511949</v>
      </c>
      <c r="B68" s="16" t="s">
        <v>261</v>
      </c>
      <c r="C68" t="str">
        <f t="shared" si="1"/>
        <v>update persona set posicion = 'APERTURA' where dni = '40511949';</v>
      </c>
    </row>
    <row r="69" spans="1:3" x14ac:dyDescent="0.3">
      <c r="A69" s="15" t="s">
        <v>243</v>
      </c>
      <c r="C69" t="str">
        <f t="shared" si="1"/>
        <v>update persona set posicion = '' where dni = '';</v>
      </c>
    </row>
    <row r="70" spans="1:3" x14ac:dyDescent="0.3">
      <c r="A70" s="16">
        <v>42024019</v>
      </c>
      <c r="B70" s="16" t="s">
        <v>257</v>
      </c>
      <c r="C70" t="str">
        <f t="shared" si="1"/>
        <v>update persona set posicion = 'ALA' where dni = '42024019';</v>
      </c>
    </row>
    <row r="71" spans="1:3" x14ac:dyDescent="0.3">
      <c r="A71" s="16">
        <v>46364162</v>
      </c>
      <c r="B71" s="16" t="s">
        <v>257</v>
      </c>
      <c r="C71" t="str">
        <f t="shared" si="1"/>
        <v>update persona set posicion = 'ALA' where dni = '46364162';</v>
      </c>
    </row>
    <row r="72" spans="1:3" x14ac:dyDescent="0.3">
      <c r="A72" s="16">
        <v>47698784</v>
      </c>
      <c r="B72" s="16" t="s">
        <v>254</v>
      </c>
      <c r="C72" t="str">
        <f t="shared" si="1"/>
        <v>update persona set posicion = 'HOOKER' where dni = '47698784';</v>
      </c>
    </row>
    <row r="73" spans="1:3" x14ac:dyDescent="0.3">
      <c r="A73" s="16">
        <v>45689407</v>
      </c>
      <c r="B73" s="16" t="s">
        <v>253</v>
      </c>
      <c r="C73" t="str">
        <f t="shared" si="1"/>
        <v>update persona set posicion = 'CENTRO' where dni = '45689407';</v>
      </c>
    </row>
    <row r="74" spans="1:3" x14ac:dyDescent="0.3">
      <c r="A74" s="16">
        <v>45327182</v>
      </c>
      <c r="B74" s="16" t="s">
        <v>258</v>
      </c>
      <c r="C74" t="str">
        <f t="shared" si="1"/>
        <v>update persona set posicion = 'PILARDER' where dni = '45327182';</v>
      </c>
    </row>
    <row r="75" spans="1:3" x14ac:dyDescent="0.3">
      <c r="A75" s="16">
        <v>31606072</v>
      </c>
      <c r="B75" s="16" t="s">
        <v>256</v>
      </c>
      <c r="C75" t="str">
        <f t="shared" si="1"/>
        <v>update persona set posicion = 'OCTAVO' where dni = '31606072';</v>
      </c>
    </row>
    <row r="76" spans="1:3" x14ac:dyDescent="0.3">
      <c r="A76" s="16">
        <v>36846181</v>
      </c>
      <c r="B76" s="16" t="s">
        <v>258</v>
      </c>
      <c r="C76" t="str">
        <f t="shared" si="1"/>
        <v>update persona set posicion = 'PILARDER' where dni = '36846181';</v>
      </c>
    </row>
    <row r="77" spans="1:3" x14ac:dyDescent="0.3">
      <c r="A77" s="16">
        <v>39390051</v>
      </c>
      <c r="B77" s="16" t="s">
        <v>257</v>
      </c>
      <c r="C77" t="str">
        <f t="shared" si="1"/>
        <v>update persona set posicion = 'ALA' where dni = '39390051';</v>
      </c>
    </row>
    <row r="78" spans="1:3" x14ac:dyDescent="0.3">
      <c r="A78" s="16">
        <v>44727265</v>
      </c>
      <c r="B78" s="16" t="s">
        <v>254</v>
      </c>
      <c r="C78" t="str">
        <f t="shared" si="1"/>
        <v>update persona set posicion = 'HOOKER' where dni = '44727265';</v>
      </c>
    </row>
    <row r="79" spans="1:3" x14ac:dyDescent="0.3">
      <c r="A79" s="16">
        <v>44208005</v>
      </c>
      <c r="B79" s="16" t="s">
        <v>254</v>
      </c>
      <c r="C79" t="str">
        <f t="shared" si="1"/>
        <v>update persona set posicion = 'HOOKER' where dni = '44208005';</v>
      </c>
    </row>
    <row r="80" spans="1:3" x14ac:dyDescent="0.3">
      <c r="A80" s="16">
        <v>45738945</v>
      </c>
      <c r="B80" s="16" t="s">
        <v>257</v>
      </c>
      <c r="C80" t="str">
        <f t="shared" si="1"/>
        <v>update persona set posicion = 'ALA' where dni = '45738945';</v>
      </c>
    </row>
    <row r="81" spans="1:3" x14ac:dyDescent="0.3">
      <c r="A81" s="16">
        <v>42206857</v>
      </c>
      <c r="B81" s="16" t="s">
        <v>253</v>
      </c>
      <c r="C81" t="str">
        <f t="shared" si="1"/>
        <v>update persona set posicion = 'CENTRO' where dni = '42206857';</v>
      </c>
    </row>
    <row r="82" spans="1:3" x14ac:dyDescent="0.3">
      <c r="A82" s="16">
        <v>39268248</v>
      </c>
      <c r="B82" s="16" t="s">
        <v>262</v>
      </c>
      <c r="C82" t="str">
        <f t="shared" si="1"/>
        <v>update persona set posicion = 'SEGUNDA' where dni = '39268248';</v>
      </c>
    </row>
    <row r="83" spans="1:3" x14ac:dyDescent="0.3">
      <c r="A83" s="16">
        <v>43814255</v>
      </c>
      <c r="B83" s="16" t="s">
        <v>255</v>
      </c>
      <c r="C83" t="str">
        <f t="shared" si="1"/>
        <v>update persona set posicion = 'WING' where dni = '43814255';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EFE73-8489-4807-91CD-809D524148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m14</vt:lpstr>
      <vt:lpstr>persona_rows</vt:lpstr>
      <vt:lpstr>ps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Zanardo</dc:creator>
  <cp:lastModifiedBy>Santiago Zanardo</cp:lastModifiedBy>
  <dcterms:created xsi:type="dcterms:W3CDTF">2015-06-05T18:19:34Z</dcterms:created>
  <dcterms:modified xsi:type="dcterms:W3CDTF">2026-05-21T18:38:29Z</dcterms:modified>
</cp:coreProperties>
</file>